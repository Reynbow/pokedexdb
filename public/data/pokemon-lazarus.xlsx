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pokedexdb\public\data\"/>
    </mc:Choice>
  </mc:AlternateContent>
  <xr:revisionPtr revIDLastSave="0" documentId="8_{C5A67313-E12F-466F-9A88-839DCC1D9721}" xr6:coauthVersionLast="47" xr6:coauthVersionMax="47" xr10:uidLastSave="{00000000-0000-0000-0000-000000000000}"/>
  <bookViews>
    <workbookView xWindow="-120" yWindow="-120" windowWidth="51840" windowHeight="21840" xr2:uid="{92CDFA41-0884-4B16-962A-1CB40108A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30" i="1" l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V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V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C528" i="1"/>
  <c r="B528" i="1"/>
  <c r="A528" i="1"/>
  <c r="X527" i="1"/>
  <c r="V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V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V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X524" i="1"/>
  <c r="V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V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V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X521" i="1"/>
  <c r="W521" i="1"/>
  <c r="V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V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V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V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V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X516" i="1"/>
  <c r="V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V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V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V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V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X511" i="1"/>
  <c r="V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V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V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V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C508" i="1"/>
  <c r="B508" i="1"/>
  <c r="A508" i="1"/>
  <c r="V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C507" i="1"/>
  <c r="B507" i="1"/>
  <c r="A507" i="1"/>
  <c r="V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V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V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X503" i="1"/>
  <c r="V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X502" i="1"/>
  <c r="V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V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C501" i="1"/>
  <c r="B501" i="1"/>
  <c r="A501" i="1"/>
  <c r="V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X499" i="1"/>
  <c r="V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V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V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V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X495" i="1"/>
  <c r="V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V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X493" i="1"/>
  <c r="V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C493" i="1"/>
  <c r="B493" i="1"/>
  <c r="A493" i="1"/>
  <c r="V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X491" i="1"/>
  <c r="V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V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V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V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V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V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X485" i="1"/>
  <c r="V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V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V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V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Y481" i="1"/>
  <c r="U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Y480" i="1"/>
  <c r="U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Y479" i="1"/>
  <c r="U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Y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Y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Y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Y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Y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Y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Y472" i="1"/>
  <c r="X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Y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Y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Y469" i="1"/>
  <c r="U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C469" i="1"/>
  <c r="B469" i="1"/>
  <c r="A469" i="1"/>
  <c r="Y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Y467" i="1"/>
  <c r="X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C467" i="1"/>
  <c r="B467" i="1"/>
  <c r="A467" i="1"/>
  <c r="Y466" i="1"/>
  <c r="X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C466" i="1"/>
  <c r="B466" i="1"/>
  <c r="A466" i="1"/>
  <c r="Y465" i="1"/>
  <c r="U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Y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Y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C463" i="1"/>
  <c r="B463" i="1"/>
  <c r="A463" i="1"/>
  <c r="V462" i="1"/>
  <c r="U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V461" i="1"/>
  <c r="U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C461" i="1"/>
  <c r="B461" i="1"/>
  <c r="A461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C458" i="1"/>
  <c r="B458" i="1"/>
  <c r="A458" i="1"/>
  <c r="Y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Y456" i="1"/>
  <c r="X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C456" i="1"/>
  <c r="B456" i="1"/>
  <c r="A456" i="1"/>
  <c r="Y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C455" i="1"/>
  <c r="B455" i="1"/>
  <c r="A455" i="1"/>
  <c r="Y454" i="1"/>
  <c r="X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C454" i="1"/>
  <c r="B454" i="1"/>
  <c r="A454" i="1"/>
  <c r="Y453" i="1"/>
  <c r="X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Y452" i="1"/>
  <c r="V452" i="1"/>
  <c r="U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Y451" i="1"/>
  <c r="U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Y450" i="1"/>
  <c r="X450" i="1"/>
  <c r="V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C449" i="1"/>
  <c r="B449" i="1"/>
  <c r="A449" i="1"/>
  <c r="Y448" i="1"/>
  <c r="X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Y447" i="1"/>
  <c r="V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Y446" i="1"/>
  <c r="X446" i="1"/>
  <c r="V446" i="1"/>
  <c r="U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Y445" i="1"/>
  <c r="X445" i="1"/>
  <c r="U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Y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Y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Y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Y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C441" i="1"/>
  <c r="B441" i="1"/>
  <c r="A441" i="1"/>
  <c r="Y440" i="1"/>
  <c r="X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Y439" i="1"/>
  <c r="X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Y438" i="1"/>
  <c r="X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Y437" i="1"/>
  <c r="X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Y436" i="1"/>
  <c r="X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Y435" i="1"/>
  <c r="X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Y434" i="1"/>
  <c r="X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Y433" i="1"/>
  <c r="X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Y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Y431" i="1"/>
  <c r="U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C431" i="1"/>
  <c r="B431" i="1"/>
  <c r="A431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C429" i="1"/>
  <c r="B429" i="1"/>
  <c r="A429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C428" i="1"/>
  <c r="B428" i="1"/>
  <c r="A428" i="1"/>
  <c r="X427" i="1"/>
  <c r="V427" i="1"/>
  <c r="U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U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C426" i="1"/>
  <c r="B426" i="1"/>
  <c r="A426" i="1"/>
  <c r="X425" i="1"/>
  <c r="V425" i="1"/>
  <c r="U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U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C424" i="1"/>
  <c r="B424" i="1"/>
  <c r="A424" i="1"/>
  <c r="X423" i="1"/>
  <c r="V423" i="1"/>
  <c r="U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U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C422" i="1"/>
  <c r="B422" i="1"/>
  <c r="A422" i="1"/>
  <c r="Y421" i="1"/>
  <c r="X421" i="1"/>
  <c r="V421" i="1"/>
  <c r="U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Y420" i="1"/>
  <c r="X420" i="1"/>
  <c r="V420" i="1"/>
  <c r="U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Y419" i="1"/>
  <c r="X419" i="1"/>
  <c r="U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C419" i="1"/>
  <c r="B419" i="1"/>
  <c r="A419" i="1"/>
  <c r="Y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Y417" i="1"/>
  <c r="V417" i="1"/>
  <c r="U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Y416" i="1"/>
  <c r="V416" i="1"/>
  <c r="U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Y415" i="1"/>
  <c r="U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V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C414" i="1"/>
  <c r="B414" i="1"/>
  <c r="A414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C413" i="1"/>
  <c r="B413" i="1"/>
  <c r="A413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Y408" i="1"/>
  <c r="V408" i="1"/>
  <c r="U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Y407" i="1"/>
  <c r="U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Y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Y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Y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C404" i="1"/>
  <c r="B404" i="1"/>
  <c r="A404" i="1"/>
  <c r="X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Y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Y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C401" i="1"/>
  <c r="B401" i="1"/>
  <c r="A401" i="1"/>
  <c r="Y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Y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Y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Y397" i="1"/>
  <c r="X397" i="1"/>
  <c r="V397" i="1"/>
  <c r="U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C397" i="1"/>
  <c r="B397" i="1"/>
  <c r="A397" i="1"/>
  <c r="Y396" i="1"/>
  <c r="X396" i="1"/>
  <c r="V396" i="1"/>
  <c r="U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C396" i="1"/>
  <c r="B396" i="1"/>
  <c r="A396" i="1"/>
  <c r="Y395" i="1"/>
  <c r="X395" i="1"/>
  <c r="U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C395" i="1"/>
  <c r="B395" i="1"/>
  <c r="A395" i="1"/>
  <c r="Y394" i="1"/>
  <c r="X394" i="1"/>
  <c r="V394" i="1"/>
  <c r="U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Y393" i="1"/>
  <c r="X393" i="1"/>
  <c r="U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Y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Y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Y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Y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Y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Y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C384" i="1"/>
  <c r="B384" i="1"/>
  <c r="A384" i="1"/>
  <c r="Y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Y382" i="1"/>
  <c r="X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Y381" i="1"/>
  <c r="X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Y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Y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C379" i="1"/>
  <c r="B379" i="1"/>
  <c r="A379" i="1"/>
  <c r="Y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C378" i="1"/>
  <c r="B378" i="1"/>
  <c r="A378" i="1"/>
  <c r="Y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C377" i="1"/>
  <c r="B377" i="1"/>
  <c r="A377" i="1"/>
  <c r="Y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C376" i="1"/>
  <c r="B376" i="1"/>
  <c r="A376" i="1"/>
  <c r="Y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C375" i="1"/>
  <c r="B375" i="1"/>
  <c r="A375" i="1"/>
  <c r="Y374" i="1"/>
  <c r="X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Y373" i="1"/>
  <c r="X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Y372" i="1"/>
  <c r="X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Y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Y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Y366" i="1"/>
  <c r="X366" i="1"/>
  <c r="W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Y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C365" i="1"/>
  <c r="B365" i="1"/>
  <c r="A365" i="1"/>
  <c r="Y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C364" i="1"/>
  <c r="B364" i="1"/>
  <c r="A364" i="1"/>
  <c r="Y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Y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C362" i="1"/>
  <c r="B362" i="1"/>
  <c r="A362" i="1"/>
  <c r="Y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C361" i="1"/>
  <c r="B361" i="1"/>
  <c r="A361" i="1"/>
  <c r="Y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Y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Y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Y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Y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Y355" i="1"/>
  <c r="X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Y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C354" i="1"/>
  <c r="B354" i="1"/>
  <c r="A354" i="1"/>
  <c r="Y353" i="1"/>
  <c r="X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C353" i="1"/>
  <c r="B353" i="1"/>
  <c r="A353" i="1"/>
  <c r="Y352" i="1"/>
  <c r="X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C352" i="1"/>
  <c r="B352" i="1"/>
  <c r="A352" i="1"/>
  <c r="Y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C350" i="1"/>
  <c r="B350" i="1"/>
  <c r="A350" i="1"/>
  <c r="Y349" i="1"/>
  <c r="X349" i="1"/>
  <c r="W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C349" i="1"/>
  <c r="B349" i="1"/>
  <c r="A349" i="1"/>
  <c r="Y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Y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Y346" i="1"/>
  <c r="X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C346" i="1"/>
  <c r="B346" i="1"/>
  <c r="A346" i="1"/>
  <c r="Y345" i="1"/>
  <c r="X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C345" i="1"/>
  <c r="B345" i="1"/>
  <c r="A345" i="1"/>
  <c r="Y344" i="1"/>
  <c r="V344" i="1"/>
  <c r="U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Y343" i="1"/>
  <c r="U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C343" i="1"/>
  <c r="B343" i="1"/>
  <c r="A343" i="1"/>
  <c r="Y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C342" i="1"/>
  <c r="B342" i="1"/>
  <c r="A342" i="1"/>
  <c r="Y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C341" i="1"/>
  <c r="B341" i="1"/>
  <c r="A341" i="1"/>
  <c r="Y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C340" i="1"/>
  <c r="B340" i="1"/>
  <c r="A340" i="1"/>
  <c r="Y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Y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Y337" i="1"/>
  <c r="X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Y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Y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Y334" i="1"/>
  <c r="X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C334" i="1"/>
  <c r="B334" i="1"/>
  <c r="A334" i="1"/>
  <c r="Y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Y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Y331" i="1"/>
  <c r="X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Y330" i="1"/>
  <c r="X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Y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Y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Y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Y326" i="1"/>
  <c r="X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Y325" i="1"/>
  <c r="X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Y324" i="1"/>
  <c r="V324" i="1"/>
  <c r="U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Y323" i="1"/>
  <c r="V323" i="1"/>
  <c r="U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Y322" i="1"/>
  <c r="X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C322" i="1"/>
  <c r="B322" i="1"/>
  <c r="A322" i="1"/>
  <c r="Y321" i="1"/>
  <c r="U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Y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Y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Y318" i="1"/>
  <c r="X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Y317" i="1"/>
  <c r="X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Y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Y315" i="1"/>
  <c r="V315" i="1"/>
  <c r="U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C315" i="1"/>
  <c r="B315" i="1"/>
  <c r="A315" i="1"/>
  <c r="Y314" i="1"/>
  <c r="V314" i="1"/>
  <c r="U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C314" i="1"/>
  <c r="B314" i="1"/>
  <c r="A314" i="1"/>
  <c r="Y313" i="1"/>
  <c r="U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C313" i="1"/>
  <c r="B313" i="1"/>
  <c r="A313" i="1"/>
  <c r="Y312" i="1"/>
  <c r="X312" i="1"/>
  <c r="V312" i="1"/>
  <c r="U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Y311" i="1"/>
  <c r="X311" i="1"/>
  <c r="V311" i="1"/>
  <c r="U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Y310" i="1"/>
  <c r="X310" i="1"/>
  <c r="W310" i="1"/>
  <c r="U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C310" i="1"/>
  <c r="B310" i="1"/>
  <c r="A310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Y308" i="1"/>
  <c r="X308" i="1"/>
  <c r="W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C308" i="1"/>
  <c r="B308" i="1"/>
  <c r="A308" i="1"/>
  <c r="Y307" i="1"/>
  <c r="X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Y306" i="1"/>
  <c r="X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Y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Y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Y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C303" i="1"/>
  <c r="B303" i="1"/>
  <c r="A303" i="1"/>
  <c r="Y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Y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Y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Y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C299" i="1"/>
  <c r="B299" i="1"/>
  <c r="A299" i="1"/>
  <c r="Y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C298" i="1"/>
  <c r="B298" i="1"/>
  <c r="A298" i="1"/>
  <c r="Y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C297" i="1"/>
  <c r="B297" i="1"/>
  <c r="A297" i="1"/>
  <c r="Y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C296" i="1"/>
  <c r="B296" i="1"/>
  <c r="A296" i="1"/>
  <c r="Y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C295" i="1"/>
  <c r="B295" i="1"/>
  <c r="A295" i="1"/>
  <c r="Y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C294" i="1"/>
  <c r="B294" i="1"/>
  <c r="A294" i="1"/>
  <c r="Y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Y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Y291" i="1"/>
  <c r="X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Y290" i="1"/>
  <c r="X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C290" i="1"/>
  <c r="B290" i="1"/>
  <c r="A290" i="1"/>
  <c r="Y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Y288" i="1"/>
  <c r="X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C288" i="1"/>
  <c r="B288" i="1"/>
  <c r="A288" i="1"/>
  <c r="Y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Y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Y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Y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C284" i="1"/>
  <c r="B284" i="1"/>
  <c r="A284" i="1"/>
  <c r="Y283" i="1"/>
  <c r="V283" i="1"/>
  <c r="U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Y282" i="1"/>
  <c r="U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Y281" i="1"/>
  <c r="X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Y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Y279" i="1"/>
  <c r="V279" i="1"/>
  <c r="U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Y278" i="1"/>
  <c r="U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Y277" i="1"/>
  <c r="X277" i="1"/>
  <c r="V277" i="1"/>
  <c r="U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Y276" i="1"/>
  <c r="X276" i="1"/>
  <c r="U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Y275" i="1"/>
  <c r="X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Y274" i="1"/>
  <c r="X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C274" i="1"/>
  <c r="B274" i="1"/>
  <c r="A274" i="1"/>
  <c r="Y273" i="1"/>
  <c r="X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Y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Y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Y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Y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Y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Y264" i="1"/>
  <c r="V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C264" i="1"/>
  <c r="B264" i="1"/>
  <c r="A264" i="1"/>
  <c r="Y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C263" i="1"/>
  <c r="B263" i="1"/>
  <c r="A263" i="1"/>
  <c r="Y262" i="1"/>
  <c r="X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Y261" i="1"/>
  <c r="X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Y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C260" i="1"/>
  <c r="B260" i="1"/>
  <c r="A260" i="1"/>
  <c r="Y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C259" i="1"/>
  <c r="B259" i="1"/>
  <c r="A259" i="1"/>
  <c r="Y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Y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Y256" i="1"/>
  <c r="V256" i="1"/>
  <c r="U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Y255" i="1"/>
  <c r="X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Y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C254" i="1"/>
  <c r="B254" i="1"/>
  <c r="A254" i="1"/>
  <c r="Y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C253" i="1"/>
  <c r="B253" i="1"/>
  <c r="A253" i="1"/>
  <c r="Y252" i="1"/>
  <c r="X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Y251" i="1"/>
  <c r="V251" i="1"/>
  <c r="U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C251" i="1"/>
  <c r="B251" i="1"/>
  <c r="A251" i="1"/>
  <c r="Y250" i="1"/>
  <c r="X250" i="1"/>
  <c r="V250" i="1"/>
  <c r="U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C250" i="1"/>
  <c r="B250" i="1"/>
  <c r="A250" i="1"/>
  <c r="Y249" i="1"/>
  <c r="U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C249" i="1"/>
  <c r="B249" i="1"/>
  <c r="A249" i="1"/>
  <c r="Y248" i="1"/>
  <c r="V248" i="1"/>
  <c r="U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Y247" i="1"/>
  <c r="U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Y246" i="1"/>
  <c r="U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Y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C245" i="1"/>
  <c r="B245" i="1"/>
  <c r="A245" i="1"/>
  <c r="Y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Y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Y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Y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Y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C240" i="1"/>
  <c r="B240" i="1"/>
  <c r="A240" i="1"/>
  <c r="Y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C239" i="1"/>
  <c r="B239" i="1"/>
  <c r="A239" i="1"/>
  <c r="Y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Y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Y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Y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Y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C234" i="1"/>
  <c r="B234" i="1"/>
  <c r="A234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C233" i="1"/>
  <c r="B233" i="1"/>
  <c r="A233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C232" i="1"/>
  <c r="B232" i="1"/>
  <c r="A232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C228" i="1"/>
  <c r="B228" i="1"/>
  <c r="A228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C227" i="1"/>
  <c r="B227" i="1"/>
  <c r="A227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X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X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X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C221" i="1"/>
  <c r="B221" i="1"/>
  <c r="A221" i="1"/>
  <c r="Y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Y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C219" i="1"/>
  <c r="B219" i="1"/>
  <c r="A219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C218" i="1"/>
  <c r="B218" i="1"/>
  <c r="A218" i="1"/>
  <c r="Y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Y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C216" i="1"/>
  <c r="B216" i="1"/>
  <c r="A216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C215" i="1"/>
  <c r="B215" i="1"/>
  <c r="A215" i="1"/>
  <c r="Y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Y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C213" i="1"/>
  <c r="B213" i="1"/>
  <c r="A213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C212" i="1"/>
  <c r="B212" i="1"/>
  <c r="A212" i="1"/>
  <c r="Y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C211" i="1"/>
  <c r="B211" i="1"/>
  <c r="A211" i="1"/>
  <c r="Y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C210" i="1"/>
  <c r="B210" i="1"/>
  <c r="A210" i="1"/>
  <c r="Y209" i="1"/>
  <c r="X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C209" i="1"/>
  <c r="B209" i="1"/>
  <c r="A209" i="1"/>
  <c r="Y208" i="1"/>
  <c r="X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C208" i="1"/>
  <c r="B208" i="1"/>
  <c r="A208" i="1"/>
  <c r="Y207" i="1"/>
  <c r="V207" i="1"/>
  <c r="U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Y206" i="1"/>
  <c r="U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Y205" i="1"/>
  <c r="V205" i="1"/>
  <c r="U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Y204" i="1"/>
  <c r="U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Y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Y202" i="1"/>
  <c r="X202" i="1"/>
  <c r="V202" i="1"/>
  <c r="U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Y201" i="1"/>
  <c r="X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Y200" i="1"/>
  <c r="V200" i="1"/>
  <c r="U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C200" i="1"/>
  <c r="B200" i="1"/>
  <c r="A200" i="1"/>
  <c r="Y199" i="1"/>
  <c r="U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C199" i="1"/>
  <c r="B199" i="1"/>
  <c r="A199" i="1"/>
  <c r="Y198" i="1"/>
  <c r="X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Y197" i="1"/>
  <c r="X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Y196" i="1"/>
  <c r="X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Y195" i="1"/>
  <c r="X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Y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Y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Y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Y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Y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Y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Y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C188" i="1"/>
  <c r="B188" i="1"/>
  <c r="A188" i="1"/>
  <c r="Y187" i="1"/>
  <c r="X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C187" i="1"/>
  <c r="B187" i="1"/>
  <c r="A187" i="1"/>
  <c r="Y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Y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C185" i="1"/>
  <c r="B185" i="1"/>
  <c r="A185" i="1"/>
  <c r="Y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Y183" i="1"/>
  <c r="W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Y182" i="1"/>
  <c r="U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C182" i="1"/>
  <c r="B182" i="1"/>
  <c r="A182" i="1"/>
  <c r="Y181" i="1"/>
  <c r="X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Y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Y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Y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Y177" i="1"/>
  <c r="X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Y176" i="1"/>
  <c r="X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Y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Y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Y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Y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Y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Y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Y169" i="1"/>
  <c r="X169" i="1"/>
  <c r="V169" i="1"/>
  <c r="U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Y168" i="1"/>
  <c r="X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C168" i="1"/>
  <c r="B168" i="1"/>
  <c r="A168" i="1"/>
  <c r="Y167" i="1"/>
  <c r="V167" i="1"/>
  <c r="U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Y166" i="1"/>
  <c r="V166" i="1"/>
  <c r="U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Y165" i="1"/>
  <c r="U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C165" i="1"/>
  <c r="B165" i="1"/>
  <c r="A165" i="1"/>
  <c r="Y164" i="1"/>
  <c r="V164" i="1"/>
  <c r="U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C164" i="1"/>
  <c r="B164" i="1"/>
  <c r="A164" i="1"/>
  <c r="Y163" i="1"/>
  <c r="U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C163" i="1"/>
  <c r="B163" i="1"/>
  <c r="A163" i="1"/>
  <c r="Y162" i="1"/>
  <c r="X162" i="1"/>
  <c r="V162" i="1"/>
  <c r="U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Y161" i="1"/>
  <c r="X161" i="1"/>
  <c r="U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Y160" i="1"/>
  <c r="X160" i="1"/>
  <c r="V160" i="1"/>
  <c r="U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Y159" i="1"/>
  <c r="X159" i="1"/>
  <c r="U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Y158" i="1"/>
  <c r="V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Y157" i="1"/>
  <c r="V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Y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Y155" i="1"/>
  <c r="X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Y154" i="1"/>
  <c r="X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Y153" i="1"/>
  <c r="X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Y152" i="1"/>
  <c r="V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Y151" i="1"/>
  <c r="V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Y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Y149" i="1"/>
  <c r="X149" i="1"/>
  <c r="V149" i="1"/>
  <c r="U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Y148" i="1"/>
  <c r="X148" i="1"/>
  <c r="U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Y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C147" i="1"/>
  <c r="B147" i="1"/>
  <c r="A147" i="1"/>
  <c r="Y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C146" i="1"/>
  <c r="B146" i="1"/>
  <c r="A146" i="1"/>
  <c r="Y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C145" i="1"/>
  <c r="B145" i="1"/>
  <c r="A145" i="1"/>
  <c r="Y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C144" i="1"/>
  <c r="B144" i="1"/>
  <c r="A144" i="1"/>
  <c r="Y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Y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Y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C141" i="1"/>
  <c r="B141" i="1"/>
  <c r="A141" i="1"/>
  <c r="Y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C140" i="1"/>
  <c r="B140" i="1"/>
  <c r="A140" i="1"/>
  <c r="Y139" i="1"/>
  <c r="X139" i="1"/>
  <c r="W139" i="1"/>
  <c r="V139" i="1"/>
  <c r="U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Y138" i="1"/>
  <c r="X138" i="1"/>
  <c r="W138" i="1"/>
  <c r="U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Y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Y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Y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Y134" i="1"/>
  <c r="X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C134" i="1"/>
  <c r="B134" i="1"/>
  <c r="A134" i="1"/>
  <c r="Y133" i="1"/>
  <c r="X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C133" i="1"/>
  <c r="B133" i="1"/>
  <c r="A133" i="1"/>
  <c r="Y132" i="1"/>
  <c r="X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C132" i="1"/>
  <c r="B132" i="1"/>
  <c r="A132" i="1"/>
  <c r="Y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C131" i="1"/>
  <c r="B131" i="1"/>
  <c r="A131" i="1"/>
  <c r="Y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C130" i="1"/>
  <c r="B130" i="1"/>
  <c r="A130" i="1"/>
  <c r="Y129" i="1"/>
  <c r="X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Y128" i="1"/>
  <c r="X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Y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Y125" i="1"/>
  <c r="X125" i="1"/>
  <c r="W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C125" i="1"/>
  <c r="B125" i="1"/>
  <c r="A125" i="1"/>
  <c r="Y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Y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Y122" i="1"/>
  <c r="X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Y121" i="1"/>
  <c r="X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Y120" i="1"/>
  <c r="X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C120" i="1"/>
  <c r="B120" i="1"/>
  <c r="A120" i="1"/>
  <c r="Y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C119" i="1"/>
  <c r="B119" i="1"/>
  <c r="A119" i="1"/>
  <c r="Y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C118" i="1"/>
  <c r="B118" i="1"/>
  <c r="A118" i="1"/>
  <c r="Y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C117" i="1"/>
  <c r="B117" i="1"/>
  <c r="A117" i="1"/>
  <c r="Y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C116" i="1"/>
  <c r="B116" i="1"/>
  <c r="A116" i="1"/>
  <c r="Y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C115" i="1"/>
  <c r="B115" i="1"/>
  <c r="A115" i="1"/>
  <c r="Y114" i="1"/>
  <c r="X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Y113" i="1"/>
  <c r="X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Y112" i="1"/>
  <c r="X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Y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Y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Y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Y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Y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C107" i="1"/>
  <c r="B107" i="1"/>
  <c r="A107" i="1"/>
  <c r="Y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C106" i="1"/>
  <c r="B106" i="1"/>
  <c r="A106" i="1"/>
  <c r="Y105" i="1"/>
  <c r="X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Y104" i="1"/>
  <c r="X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Y103" i="1"/>
  <c r="X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C103" i="1"/>
  <c r="B103" i="1"/>
  <c r="A103" i="1"/>
  <c r="Y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Y101" i="1"/>
  <c r="X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Y100" i="1"/>
  <c r="X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Y99" i="1"/>
  <c r="X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C99" i="1"/>
  <c r="B99" i="1"/>
  <c r="A99" i="1"/>
  <c r="Y98" i="1"/>
  <c r="X98" i="1"/>
  <c r="W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C98" i="1"/>
  <c r="B98" i="1"/>
  <c r="A98" i="1"/>
  <c r="Y97" i="1"/>
  <c r="X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Y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Y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Y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Y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C93" i="1"/>
  <c r="B93" i="1"/>
  <c r="A93" i="1"/>
  <c r="Y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C92" i="1"/>
  <c r="B92" i="1"/>
  <c r="A92" i="1"/>
  <c r="Y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C91" i="1"/>
  <c r="B91" i="1"/>
  <c r="A91" i="1"/>
  <c r="Y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C90" i="1"/>
  <c r="B90" i="1"/>
  <c r="A90" i="1"/>
  <c r="Y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C89" i="1"/>
  <c r="B89" i="1"/>
  <c r="A89" i="1"/>
  <c r="Y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C88" i="1"/>
  <c r="B88" i="1"/>
  <c r="A88" i="1"/>
  <c r="Y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C87" i="1"/>
  <c r="B87" i="1"/>
  <c r="A87" i="1"/>
  <c r="Y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C86" i="1"/>
  <c r="B86" i="1"/>
  <c r="A86" i="1"/>
  <c r="Y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C85" i="1"/>
  <c r="B85" i="1"/>
  <c r="A85" i="1"/>
  <c r="Y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C84" i="1"/>
  <c r="B84" i="1"/>
  <c r="A84" i="1"/>
  <c r="Y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Y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Y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Y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Y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Y78" i="1"/>
  <c r="X78" i="1"/>
  <c r="V78" i="1"/>
  <c r="U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Y77" i="1"/>
  <c r="V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C77" i="1"/>
  <c r="B77" i="1"/>
  <c r="A77" i="1"/>
  <c r="Y76" i="1"/>
  <c r="X76" i="1"/>
  <c r="V76" i="1"/>
  <c r="U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Y75" i="1"/>
  <c r="V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C75" i="1"/>
  <c r="B75" i="1"/>
  <c r="A75" i="1"/>
  <c r="Y74" i="1"/>
  <c r="X74" i="1"/>
  <c r="W74" i="1"/>
  <c r="U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C74" i="1"/>
  <c r="B74" i="1"/>
  <c r="A74" i="1"/>
  <c r="Y73" i="1"/>
  <c r="X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C73" i="1"/>
  <c r="B73" i="1"/>
  <c r="A73" i="1"/>
  <c r="Y72" i="1"/>
  <c r="X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C72" i="1"/>
  <c r="B72" i="1"/>
  <c r="A72" i="1"/>
  <c r="Y71" i="1"/>
  <c r="X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Y70" i="1"/>
  <c r="X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Y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Y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Y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Y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Y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Y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C64" i="1"/>
  <c r="B64" i="1"/>
  <c r="A64" i="1"/>
  <c r="Y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C63" i="1"/>
  <c r="B63" i="1"/>
  <c r="A63" i="1"/>
  <c r="Y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C62" i="1"/>
  <c r="B62" i="1"/>
  <c r="A62" i="1"/>
  <c r="Y61" i="1"/>
  <c r="X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C61" i="1"/>
  <c r="B61" i="1"/>
  <c r="A61" i="1"/>
  <c r="Y60" i="1"/>
  <c r="X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C60" i="1"/>
  <c r="B60" i="1"/>
  <c r="A60" i="1"/>
  <c r="Y59" i="1"/>
  <c r="X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C59" i="1"/>
  <c r="B59" i="1"/>
  <c r="A59" i="1"/>
  <c r="Y58" i="1"/>
  <c r="X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C58" i="1"/>
  <c r="B58" i="1"/>
  <c r="A58" i="1"/>
  <c r="Y57" i="1"/>
  <c r="V57" i="1"/>
  <c r="U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Y56" i="1"/>
  <c r="X56" i="1"/>
  <c r="U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Y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C55" i="1"/>
  <c r="B55" i="1"/>
  <c r="A55" i="1"/>
  <c r="Y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C54" i="1"/>
  <c r="B54" i="1"/>
  <c r="A54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Y52" i="1"/>
  <c r="X52" i="1"/>
  <c r="W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Y51" i="1"/>
  <c r="V51" i="1"/>
  <c r="U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Y50" i="1"/>
  <c r="X50" i="1"/>
  <c r="V50" i="1"/>
  <c r="U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Y49" i="1"/>
  <c r="U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C49" i="1"/>
  <c r="B49" i="1"/>
  <c r="A49" i="1"/>
  <c r="Y48" i="1"/>
  <c r="V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Y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Y46" i="1"/>
  <c r="X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Y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Y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Y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Y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Y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Y40" i="1"/>
  <c r="X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Y39" i="1"/>
  <c r="X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Y38" i="1"/>
  <c r="X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Y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C37" i="1"/>
  <c r="B37" i="1"/>
  <c r="A37" i="1"/>
  <c r="Y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C36" i="1"/>
  <c r="B36" i="1"/>
  <c r="A36" i="1"/>
  <c r="Y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C35" i="1"/>
  <c r="B35" i="1"/>
  <c r="A35" i="1"/>
  <c r="Y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Y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Y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Y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Y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Y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Y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Y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C27" i="1"/>
  <c r="B27" i="1"/>
  <c r="A27" i="1"/>
  <c r="Y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C26" i="1"/>
  <c r="B26" i="1"/>
  <c r="A26" i="1"/>
  <c r="Y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Y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C24" i="1"/>
  <c r="B24" i="1"/>
  <c r="A24" i="1"/>
  <c r="Y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C23" i="1"/>
  <c r="B23" i="1"/>
  <c r="A23" i="1"/>
  <c r="Y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Y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C21" i="1"/>
  <c r="B21" i="1"/>
  <c r="A21" i="1"/>
  <c r="Y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C20" i="1"/>
  <c r="B20" i="1"/>
  <c r="A20" i="1"/>
  <c r="Y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Y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C18" i="1"/>
  <c r="B18" i="1"/>
  <c r="A18" i="1"/>
  <c r="Y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C17" i="1"/>
  <c r="B17" i="1"/>
  <c r="A17" i="1"/>
  <c r="Y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Y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C15" i="1"/>
  <c r="B15" i="1"/>
  <c r="A15" i="1"/>
  <c r="Y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C14" i="1"/>
  <c r="B14" i="1"/>
  <c r="A14" i="1"/>
  <c r="Y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Y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C12" i="1"/>
  <c r="B12" i="1"/>
  <c r="A12" i="1"/>
  <c r="Y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C11" i="1"/>
  <c r="B11" i="1"/>
  <c r="A11" i="1"/>
  <c r="Y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Y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C9" i="1"/>
  <c r="B9" i="1"/>
  <c r="A9" i="1"/>
  <c r="Y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C8" i="1"/>
  <c r="B8" i="1"/>
  <c r="A8" i="1"/>
  <c r="Y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Y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C6" i="1"/>
  <c r="B6" i="1"/>
  <c r="A6" i="1"/>
  <c r="Y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C5" i="1"/>
  <c r="B5" i="1"/>
  <c r="A5" i="1"/>
  <c r="Y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Y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Y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1" authorId="0" shapeId="0" xr:uid="{26AF5BDB-F66C-4178-9113-BB3C4E07CD0A}">
      <text>
        <r>
          <rPr>
            <sz val="10"/>
            <color rgb="FF000000"/>
            <rFont val="Aptos Narrow"/>
            <scheme val="minor"/>
          </rPr>
          <t>If Item 1 and Item 2 are the same then the chance is 100%.
If the lead Pokemon has Compound Eyes or Super Luck then the chances are increased to 80%/20%</t>
        </r>
      </text>
    </comment>
  </commentList>
</comments>
</file>

<file path=xl/sharedStrings.xml><?xml version="1.0" encoding="utf-8"?>
<sst xmlns="http://schemas.openxmlformats.org/spreadsheetml/2006/main" count="24" uniqueCount="18">
  <si>
    <t>Name</t>
  </si>
  <si>
    <t>#</t>
  </si>
  <si>
    <t>Type</t>
  </si>
  <si>
    <t>HP</t>
  </si>
  <si>
    <t>+/-</t>
  </si>
  <si>
    <t>ATK</t>
  </si>
  <si>
    <t>DEF</t>
  </si>
  <si>
    <t>SPA</t>
  </si>
  <si>
    <t>SPD</t>
  </si>
  <si>
    <t>SPE</t>
  </si>
  <si>
    <t>BST</t>
  </si>
  <si>
    <t>Ability 1</t>
  </si>
  <si>
    <t>Ability 2</t>
  </si>
  <si>
    <t>Hidden Ability</t>
  </si>
  <si>
    <t>Evolution</t>
  </si>
  <si>
    <t>Item 1 - 50%</t>
  </si>
  <si>
    <t>Item 2 - 5%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</si>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</sst>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u/>
      <sz val="10"/>
      <color rgb="FF0000FF"/>
      <name val="Arial"/>
    </font>
    <font>
      <b/>
      <sz val="12"/>
      <color theme="1"/>
      <name val="Aptos Narrow"/>
      <scheme val="minor"/>
    </font>
    <font>
      <sz val="10"/>
      <color rgb="FF000000"/>
      <name val="Aptos Narrow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D1E6CA"/>
        <bgColor rgb="FFD1E6CA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D1FFCC"/>
        <bgColor rgb="FFD1FFCC"/>
      </patternFill>
    </fill>
    <fill>
      <patternFill patternType="solid">
        <fgColor rgb="FFA5CB95"/>
        <bgColor rgb="FFA5CB95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CC4125"/>
        <bgColor rgb="FFCC4125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1" fillId="0" borderId="1" xfId="0" applyNumberFormat="1" applyFont="1" applyBorder="1"/>
    <xf numFmtId="49" fontId="1" fillId="2" borderId="2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49" fontId="1" fillId="4" borderId="4" xfId="0" applyNumberFormat="1" applyFont="1" applyFill="1" applyBorder="1" applyAlignment="1">
      <alignment horizontal="center"/>
    </xf>
    <xf numFmtId="49" fontId="1" fillId="5" borderId="4" xfId="0" applyNumberFormat="1" applyFont="1" applyFill="1" applyBorder="1" applyAlignment="1">
      <alignment horizontal="center"/>
    </xf>
    <xf numFmtId="49" fontId="1" fillId="6" borderId="4" xfId="0" applyNumberFormat="1" applyFont="1" applyFill="1" applyBorder="1" applyAlignment="1">
      <alignment horizontal="center"/>
    </xf>
    <xf numFmtId="49" fontId="1" fillId="7" borderId="4" xfId="0" applyNumberFormat="1" applyFont="1" applyFill="1" applyBorder="1" applyAlignment="1">
      <alignment horizontal="center"/>
    </xf>
    <xf numFmtId="49" fontId="1" fillId="8" borderId="4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1" fillId="0" borderId="4" xfId="0" applyNumberFormat="1" applyFont="1" applyBorder="1"/>
    <xf numFmtId="49" fontId="1" fillId="0" borderId="5" xfId="0" applyNumberFormat="1" applyFont="1" applyBorder="1"/>
    <xf numFmtId="49" fontId="1" fillId="2" borderId="4" xfId="0" applyNumberFormat="1" applyFont="1" applyFill="1" applyBorder="1" applyAlignment="1">
      <alignment horizontal="center"/>
    </xf>
    <xf numFmtId="49" fontId="1" fillId="0" borderId="6" xfId="0" applyNumberFormat="1" applyFont="1" applyBorder="1"/>
    <xf numFmtId="49" fontId="1" fillId="2" borderId="7" xfId="0" applyNumberFormat="1" applyFont="1" applyFill="1" applyBorder="1" applyAlignment="1">
      <alignment horizontal="center"/>
    </xf>
    <xf numFmtId="49" fontId="1" fillId="3" borderId="7" xfId="0" applyNumberFormat="1" applyFont="1" applyFill="1" applyBorder="1" applyAlignment="1">
      <alignment horizontal="center"/>
    </xf>
    <xf numFmtId="49" fontId="1" fillId="4" borderId="7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6" borderId="7" xfId="0" applyNumberFormat="1" applyFont="1" applyFill="1" applyBorder="1" applyAlignment="1">
      <alignment horizontal="center"/>
    </xf>
    <xf numFmtId="49" fontId="1" fillId="7" borderId="7" xfId="0" applyNumberFormat="1" applyFont="1" applyFill="1" applyBorder="1" applyAlignment="1">
      <alignment horizontal="center"/>
    </xf>
    <xf numFmtId="49" fontId="1" fillId="8" borderId="7" xfId="0" applyNumberFormat="1" applyFont="1" applyFill="1" applyBorder="1" applyAlignment="1">
      <alignment horizontal="center"/>
    </xf>
    <xf numFmtId="49" fontId="1" fillId="9" borderId="7" xfId="0" applyNumberFormat="1" applyFont="1" applyFill="1" applyBorder="1" applyAlignment="1">
      <alignment horizontal="center"/>
    </xf>
    <xf numFmtId="49" fontId="3" fillId="0" borderId="7" xfId="0" applyNumberFormat="1" applyFont="1" applyBorder="1"/>
    <xf numFmtId="49" fontId="1" fillId="0" borderId="7" xfId="0" applyNumberFormat="1" applyFont="1" applyBorder="1"/>
    <xf numFmtId="0" fontId="2" fillId="0" borderId="3" xfId="0" applyFont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/>
    </xf>
    <xf numFmtId="49" fontId="4" fillId="11" borderId="10" xfId="0" applyNumberFormat="1" applyFont="1" applyFill="1" applyBorder="1" applyAlignment="1">
      <alignment horizontal="left"/>
    </xf>
    <xf numFmtId="49" fontId="4" fillId="11" borderId="9" xfId="0" applyNumberFormat="1" applyFont="1" applyFill="1" applyBorder="1" applyAlignment="1">
      <alignment horizontal="center"/>
    </xf>
    <xf numFmtId="49" fontId="4" fillId="11" borderId="11" xfId="0" applyNumberFormat="1" applyFont="1" applyFill="1" applyBorder="1" applyAlignment="1">
      <alignment horizontal="center"/>
    </xf>
    <xf numFmtId="0" fontId="0" fillId="0" borderId="0" xfId="0"/>
    <xf numFmtId="49" fontId="4" fillId="12" borderId="12" xfId="0" applyNumberFormat="1" applyFont="1" applyFill="1" applyBorder="1" applyAlignment="1">
      <alignment horizontal="center"/>
    </xf>
    <xf numFmtId="49" fontId="4" fillId="12" borderId="12" xfId="0" quotePrefix="1" applyNumberFormat="1" applyFont="1" applyFill="1" applyBorder="1" applyAlignment="1">
      <alignment horizontal="center"/>
    </xf>
    <xf numFmtId="49" fontId="4" fillId="10" borderId="12" xfId="0" applyNumberFormat="1" applyFont="1" applyFill="1" applyBorder="1" applyAlignment="1">
      <alignment horizontal="center"/>
    </xf>
    <xf numFmtId="49" fontId="4" fillId="10" borderId="12" xfId="0" quotePrefix="1" applyNumberFormat="1" applyFont="1" applyFill="1" applyBorder="1" applyAlignment="1">
      <alignment horizontal="center"/>
    </xf>
    <xf numFmtId="49" fontId="4" fillId="13" borderId="12" xfId="0" applyNumberFormat="1" applyFont="1" applyFill="1" applyBorder="1" applyAlignment="1">
      <alignment horizontal="center"/>
    </xf>
    <xf numFmtId="49" fontId="4" fillId="13" borderId="12" xfId="0" quotePrefix="1" applyNumberFormat="1" applyFont="1" applyFill="1" applyBorder="1" applyAlignment="1">
      <alignment horizontal="center"/>
    </xf>
    <xf numFmtId="49" fontId="4" fillId="14" borderId="12" xfId="0" applyNumberFormat="1" applyFont="1" applyFill="1" applyBorder="1" applyAlignment="1">
      <alignment horizontal="center"/>
    </xf>
    <xf numFmtId="49" fontId="4" fillId="14" borderId="12" xfId="0" quotePrefix="1" applyNumberFormat="1" applyFont="1" applyFill="1" applyBorder="1" applyAlignment="1">
      <alignment horizontal="center"/>
    </xf>
    <xf numFmtId="49" fontId="4" fillId="15" borderId="12" xfId="0" applyNumberFormat="1" applyFont="1" applyFill="1" applyBorder="1" applyAlignment="1">
      <alignment horizontal="center"/>
    </xf>
    <xf numFmtId="49" fontId="4" fillId="15" borderId="12" xfId="0" quotePrefix="1" applyNumberFormat="1" applyFont="1" applyFill="1" applyBorder="1" applyAlignment="1">
      <alignment horizontal="center"/>
    </xf>
    <xf numFmtId="49" fontId="4" fillId="16" borderId="12" xfId="0" applyNumberFormat="1" applyFont="1" applyFill="1" applyBorder="1" applyAlignment="1">
      <alignment horizontal="center"/>
    </xf>
    <xf numFmtId="49" fontId="4" fillId="16" borderId="12" xfId="0" quotePrefix="1" applyNumberFormat="1" applyFont="1" applyFill="1" applyBorder="1" applyAlignment="1">
      <alignment horizontal="center"/>
    </xf>
    <xf numFmtId="49" fontId="4" fillId="17" borderId="12" xfId="0" applyNumberFormat="1" applyFont="1" applyFill="1" applyBorder="1" applyAlignment="1">
      <alignment horizontal="center"/>
    </xf>
    <xf numFmtId="49" fontId="4" fillId="17" borderId="12" xfId="0" quotePrefix="1" applyNumberFormat="1" applyFont="1" applyFill="1" applyBorder="1" applyAlignment="1">
      <alignment horizontal="center"/>
    </xf>
    <xf numFmtId="49" fontId="4" fillId="11" borderId="12" xfId="0" applyNumberFormat="1" applyFont="1" applyFill="1" applyBorder="1"/>
  </cellXfs>
  <cellStyles count="1">
    <cellStyle name="Normal" xfId="0" builtinId="0"/>
  </cellStyles>
  <dxfs count="20">
    <dxf>
      <fill>
        <patternFill patternType="solid">
          <fgColor rgb="FFFF0000"/>
          <bgColor rgb="FFFF0000"/>
        </patternFill>
      </fill>
    </dxf>
    <dxf>
      <fill>
        <patternFill patternType="solid">
          <fgColor rgb="FF8AFF7D"/>
          <bgColor rgb="FF8AFF7D"/>
        </patternFill>
      </fill>
    </dxf>
    <dxf>
      <fill>
        <patternFill patternType="solid">
          <fgColor rgb="FF74D67A"/>
          <bgColor rgb="FF74D67A"/>
        </patternFill>
      </fill>
    </dxf>
    <dxf>
      <fill>
        <patternFill patternType="solid">
          <fgColor rgb="FFC5D8F8"/>
          <bgColor rgb="FFC5D8F8"/>
        </patternFill>
      </fill>
    </dxf>
    <dxf>
      <fill>
        <patternFill patternType="solid">
          <fgColor rgb="FFB9F2FF"/>
          <bgColor rgb="FFB9F2FF"/>
        </patternFill>
      </fill>
    </dxf>
    <dxf>
      <fill>
        <patternFill patternType="solid">
          <fgColor rgb="FFA562BA"/>
          <bgColor rgb="FFA562BA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796699"/>
          <bgColor rgb="FF796699"/>
        </patternFill>
      </fill>
    </dxf>
    <dxf>
      <fill>
        <patternFill patternType="solid">
          <fgColor rgb="FFB2AA88"/>
          <bgColor rgb="FFB2AA88"/>
        </patternFill>
      </fill>
    </dxf>
    <dxf>
      <fill>
        <patternFill patternType="solid">
          <fgColor rgb="FF92B5BB"/>
          <bgColor rgb="FF92B5BB"/>
        </patternFill>
      </fill>
    </dxf>
    <dxf>
      <fill>
        <patternFill patternType="solid">
          <fgColor rgb="FFFFBDF0"/>
          <bgColor rgb="FFFFBDF0"/>
        </patternFill>
      </fill>
    </dxf>
    <dxf>
      <fill>
        <patternFill patternType="solid">
          <fgColor rgb="FFFF6790"/>
          <bgColor rgb="FFFF6790"/>
        </patternFill>
      </fill>
    </dxf>
    <dxf>
      <fill>
        <patternFill patternType="solid">
          <fgColor rgb="FFB3E248"/>
          <bgColor rgb="FFB3E248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786D6D"/>
          <bgColor rgb="FF786D6D"/>
        </patternFill>
      </fill>
    </dxf>
    <dxf>
      <fill>
        <patternFill patternType="solid">
          <fgColor rgb="FFC07749"/>
          <bgColor rgb="FFC07749"/>
        </patternFill>
      </fill>
    </dxf>
    <dxf>
      <fill>
        <patternFill patternType="solid">
          <fgColor rgb="FFFF9547"/>
          <bgColor rgb="FFFF9547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6350"/>
          <bgColor rgb="FFFF6350"/>
        </patternFill>
      </fill>
    </dxf>
    <dxf>
      <fill>
        <patternFill patternType="solid">
          <fgColor rgb="FF6E4FF1"/>
          <bgColor rgb="FF6E4F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8336-DEF4-47BC-8918-8C217A17563B}">
  <dimension ref="A1:Y530"/>
  <sheetViews>
    <sheetView tabSelected="1" workbookViewId="0">
      <selection activeCell="W14" sqref="W14"/>
    </sheetView>
  </sheetViews>
  <sheetFormatPr defaultRowHeight="15" x14ac:dyDescent="0.25"/>
  <cols>
    <col min="1" max="1" width="17.5703125" bestFit="1" customWidth="1"/>
    <col min="2" max="2" width="4" bestFit="1" customWidth="1"/>
    <col min="3" max="4" width="7" bestFit="1" customWidth="1"/>
    <col min="5" max="6" width="4" bestFit="1" customWidth="1"/>
    <col min="7" max="7" width="4.5703125" bestFit="1" customWidth="1"/>
    <col min="8" max="8" width="4" bestFit="1" customWidth="1"/>
    <col min="9" max="9" width="4.7109375" bestFit="1" customWidth="1"/>
    <col min="10" max="10" width="4" bestFit="1" customWidth="1"/>
    <col min="11" max="11" width="4.85546875" bestFit="1" customWidth="1"/>
    <col min="12" max="12" width="4" bestFit="1" customWidth="1"/>
    <col min="13" max="13" width="5" bestFit="1" customWidth="1"/>
    <col min="14" max="14" width="4" bestFit="1" customWidth="1"/>
    <col min="15" max="15" width="4.7109375" bestFit="1" customWidth="1"/>
    <col min="16" max="16" width="4" bestFit="1" customWidth="1"/>
    <col min="17" max="17" width="4.5703125" bestFit="1" customWidth="1"/>
    <col min="18" max="18" width="4" bestFit="1" customWidth="1"/>
    <col min="19" max="19" width="15.7109375" customWidth="1"/>
    <col min="20" max="20" width="18.85546875" bestFit="1" customWidth="1"/>
    <col min="21" max="21" width="23.28515625" bestFit="1" customWidth="1"/>
    <col min="22" max="22" width="26.140625" bestFit="1" customWidth="1"/>
    <col min="23" max="23" width="12.42578125" bestFit="1" customWidth="1"/>
    <col min="24" max="24" width="12.85546875" bestFit="1" customWidth="1"/>
    <col min="25" max="25" width="204.5703125" bestFit="1" customWidth="1"/>
  </cols>
  <sheetData>
    <row r="1" spans="1:25" ht="15.75" x14ac:dyDescent="0.25">
      <c r="A1" s="31" t="s">
        <v>0</v>
      </c>
      <c r="B1" s="32" t="s">
        <v>1</v>
      </c>
      <c r="C1" s="33" t="s">
        <v>2</v>
      </c>
      <c r="D1" s="34"/>
      <c r="E1" s="35" t="s">
        <v>3</v>
      </c>
      <c r="F1" s="36" t="s">
        <v>4</v>
      </c>
      <c r="G1" s="37" t="s">
        <v>5</v>
      </c>
      <c r="H1" s="38" t="s">
        <v>4</v>
      </c>
      <c r="I1" s="39" t="s">
        <v>6</v>
      </c>
      <c r="J1" s="40" t="s">
        <v>4</v>
      </c>
      <c r="K1" s="41" t="s">
        <v>7</v>
      </c>
      <c r="L1" s="42" t="s">
        <v>4</v>
      </c>
      <c r="M1" s="43" t="s">
        <v>8</v>
      </c>
      <c r="N1" s="44" t="s">
        <v>4</v>
      </c>
      <c r="O1" s="45" t="s">
        <v>9</v>
      </c>
      <c r="P1" s="46" t="s">
        <v>4</v>
      </c>
      <c r="Q1" s="47" t="s">
        <v>10</v>
      </c>
      <c r="R1" s="48" t="s">
        <v>4</v>
      </c>
      <c r="S1" s="49" t="s">
        <v>11</v>
      </c>
      <c r="T1" s="49" t="s">
        <v>12</v>
      </c>
      <c r="U1" s="49" t="s">
        <v>13</v>
      </c>
      <c r="V1" s="49" t="s">
        <v>14</v>
      </c>
      <c r="W1" s="49" t="s">
        <v>15</v>
      </c>
      <c r="X1" s="49" t="s">
        <v>16</v>
      </c>
      <c r="Y1" s="49" t="s">
        <v>17</v>
      </c>
    </row>
    <row r="2" spans="1:25" x14ac:dyDescent="0.25">
      <c r="A2" s="1" t="str">
        <f ca="1">IFERROR(__xludf.DUMMYFUNCTION("IFERROR(IF(C1,FILTER({'Pokemon Data'!A3:A625,'Pokemon Data'!C3:F625,'Pokemon Data'!T3:T625,'Pokemon Data'!G3:G625,'Pokemon Data'!U3:U625,'Pokemon Data'!H3:H625,'Pokemon Data'!V3:V625,'Pokemon Data'!I3:I625,'Pokemon Data'!W3:W625,'Pokemon Data'!J3:J625,'Po"&amp;"kemon Data'!X3:X625,'Pokemon Data'!K3:K625,'Pokemon Data'!Y3:Y625,'Pokemon Data'!L3:L625,'Pokemon Data'!Z3:Z625,'Pokemon Data'!AA3:AG625},('Pokemon Data'!D3:D625 = A1)+('Pokemon Data'!E3:E625 = A1),NOT(REGEXMATCH('Pokemon Data'!AG3:AG625,""evolve|Availabl"&amp;"e""))),FILTER({'Pokemon Data'!A3:A625,'Pokemon Data'!C3:F625,'Pokemon Data'!T3:T625,'Pokemon Data'!G3:G625,'Pokemon Data'!U3:U625,'Pokemon Data'!H3:H625,'Pokemon Data'!V3:V625,'Pokemon Data'!I3:I625,'Pokemon Data'!W3:W625,'Pokemon Data'!J3:J625,'Pokemon D"&amp;"ata'!X3:X625,'Pokemon Data'!K3:K625,'Pokemon Data'!Y3:Y625,'Pokemon Data'!L3:L625,'Pokemon Data'!Z3:Z625,'Pokemon Data'!AA3:AG625},('Pokemon Data'!D3:D625 = A1)+('Pokemon Data'!E3:E625 = A1))),IF(C1,FILTER({'Pokemon Data'!A3:A625,'Pokemon Data'!C3:F625,'P"&amp;"okemon Data'!T3:T625,'Pokemon Data'!G3:G625,'Pokemon Data'!U3:U625,'Pokemon Data'!H3:H625,'Pokemon Data'!V3:V625,'Pokemon Data'!I3:I625,'Pokemon Data'!W3:W625,'Pokemon Data'!J3:J625,'Pokemon Data'!X3:X625,'Pokemon Data'!K3:K625,'Pokemon Data'!Y3:Y625,'Pok"&amp;"emon Data'!L3:L625,'Pokemon Data'!Z3:Z625,'Pokemon Data'!AA3:AG625},NOT(REGEXMATCH('Pokemon Data'!AG3:AG625,""evolve|Available""))),({'Pokemon Data'!A3:A625,'Pokemon Data'!C3:F625,'Pokemon Data'!T3:T625,'Pokemon Data'!G3:G625,'Pokemon Data'!U3:U625,'Pokem"&amp;"on Data'!H3:H625,'Pokemon Data'!V3:V625,'Pokemon Data'!I3:I625,'Pokemon Data'!W3:W625,'Pokemon Data'!J3:J625,'Pokemon Data'!X3:X625,'Pokemon Data'!K3:K625,'Pokemon Data'!Y3:Y625,'Pokemon Data'!L3:L625,'Pokemon Data'!Z3:Z625,'Pokemon Data'!AA3:AG625})))"),"Rowlet")</f>
        <v>Rowlet</v>
      </c>
      <c r="B2" s="2">
        <f ca="1">IFERROR(__xludf.DUMMYFUNCTION("""COMPUTED_VALUE"""),1)</f>
        <v>1</v>
      </c>
      <c r="C2" s="3" t="str">
        <f ca="1">IFERROR(__xludf.DUMMYFUNCTION("""COMPUTED_VALUE"""),"Grass")</f>
        <v>Grass</v>
      </c>
      <c r="D2" s="3" t="str">
        <f ca="1">IFERROR(__xludf.DUMMYFUNCTION("""COMPUTED_VALUE"""),"Flying")</f>
        <v>Flying</v>
      </c>
      <c r="E2" s="4">
        <f ca="1">IFERROR(__xludf.DUMMYFUNCTION("""COMPUTED_VALUE"""),68)</f>
        <v>68</v>
      </c>
      <c r="F2" s="4">
        <f ca="1">IFERROR(__xludf.DUMMYFUNCTION("""COMPUTED_VALUE"""),0)</f>
        <v>0</v>
      </c>
      <c r="G2" s="5">
        <f ca="1">IFERROR(__xludf.DUMMYFUNCTION("""COMPUTED_VALUE"""),55)</f>
        <v>55</v>
      </c>
      <c r="H2" s="5">
        <f ca="1">IFERROR(__xludf.DUMMYFUNCTION("""COMPUTED_VALUE"""),0)</f>
        <v>0</v>
      </c>
      <c r="I2" s="6">
        <f ca="1">IFERROR(__xludf.DUMMYFUNCTION("""COMPUTED_VALUE"""),55)</f>
        <v>55</v>
      </c>
      <c r="J2" s="6">
        <f ca="1">IFERROR(__xludf.DUMMYFUNCTION("""COMPUTED_VALUE"""),0)</f>
        <v>0</v>
      </c>
      <c r="K2" s="7">
        <f ca="1">IFERROR(__xludf.DUMMYFUNCTION("""COMPUTED_VALUE"""),50)</f>
        <v>50</v>
      </c>
      <c r="L2" s="7">
        <f ca="1">IFERROR(__xludf.DUMMYFUNCTION("""COMPUTED_VALUE"""),0)</f>
        <v>0</v>
      </c>
      <c r="M2" s="8">
        <f ca="1">IFERROR(__xludf.DUMMYFUNCTION("""COMPUTED_VALUE"""),50)</f>
        <v>50</v>
      </c>
      <c r="N2" s="8">
        <f ca="1">IFERROR(__xludf.DUMMYFUNCTION("""COMPUTED_VALUE"""),0)</f>
        <v>0</v>
      </c>
      <c r="O2" s="9">
        <f ca="1">IFERROR(__xludf.DUMMYFUNCTION("""COMPUTED_VALUE"""),42)</f>
        <v>42</v>
      </c>
      <c r="P2" s="9">
        <f ca="1">IFERROR(__xludf.DUMMYFUNCTION("""COMPUTED_VALUE"""),0)</f>
        <v>0</v>
      </c>
      <c r="Q2" s="10">
        <f ca="1">IFERROR(__xludf.DUMMYFUNCTION("""COMPUTED_VALUE"""),320)</f>
        <v>320</v>
      </c>
      <c r="R2" s="10">
        <f ca="1">IFERROR(__xludf.DUMMYFUNCTION("""COMPUTED_VALUE"""),0)</f>
        <v>0</v>
      </c>
      <c r="S2" s="11" t="str">
        <f ca="1">IFERROR(__xludf.DUMMYFUNCTION("""COMPUTED_VALUE"""),"Overgrow")</f>
        <v>Overgrow</v>
      </c>
      <c r="T2" s="11" t="str">
        <f ca="1">IFERROR(__xludf.DUMMYFUNCTION("""COMPUTED_VALUE"""),"Long Reach")</f>
        <v>Long Reach</v>
      </c>
      <c r="U2" s="11" t="str">
        <f ca="1">IFERROR(__xludf.DUMMYFUNCTION("""COMPUTED_VALUE"""),"Fluffy")</f>
        <v>Fluffy</v>
      </c>
      <c r="V2" s="12"/>
      <c r="W2" s="12"/>
      <c r="X2" s="12"/>
      <c r="Y2" s="12" t="str">
        <f ca="1">IFERROR(__xludf.DUMMYFUNCTION("""COMPUTED_VALUE"""),"Starter, 100 Unique Species (event) Sea of Vulcai (wild)")</f>
        <v>Starter, 100 Unique Species (event) Sea of Vulcai (wild)</v>
      </c>
    </row>
    <row r="3" spans="1:25" x14ac:dyDescent="0.25">
      <c r="A3" s="13" t="str">
        <f ca="1">IFERROR(__xludf.DUMMYFUNCTION("""COMPUTED_VALUE"""),"Dartrix")</f>
        <v>Dartrix</v>
      </c>
      <c r="B3" s="14">
        <f ca="1">IFERROR(__xludf.DUMMYFUNCTION("""COMPUTED_VALUE"""),2)</f>
        <v>2</v>
      </c>
      <c r="C3" s="3" t="str">
        <f ca="1">IFERROR(__xludf.DUMMYFUNCTION("""COMPUTED_VALUE"""),"Grass")</f>
        <v>Grass</v>
      </c>
      <c r="D3" s="3" t="str">
        <f ca="1">IFERROR(__xludf.DUMMYFUNCTION("""COMPUTED_VALUE"""),"Flying")</f>
        <v>Flying</v>
      </c>
      <c r="E3" s="4">
        <f ca="1">IFERROR(__xludf.DUMMYFUNCTION("""COMPUTED_VALUE"""),78)</f>
        <v>78</v>
      </c>
      <c r="F3" s="4">
        <f ca="1">IFERROR(__xludf.DUMMYFUNCTION("""COMPUTED_VALUE"""),0)</f>
        <v>0</v>
      </c>
      <c r="G3" s="5">
        <f ca="1">IFERROR(__xludf.DUMMYFUNCTION("""COMPUTED_VALUE"""),75)</f>
        <v>75</v>
      </c>
      <c r="H3" s="5">
        <f ca="1">IFERROR(__xludf.DUMMYFUNCTION("""COMPUTED_VALUE"""),0)</f>
        <v>0</v>
      </c>
      <c r="I3" s="6">
        <f ca="1">IFERROR(__xludf.DUMMYFUNCTION("""COMPUTED_VALUE"""),75)</f>
        <v>75</v>
      </c>
      <c r="J3" s="6">
        <f ca="1">IFERROR(__xludf.DUMMYFUNCTION("""COMPUTED_VALUE"""),0)</f>
        <v>0</v>
      </c>
      <c r="K3" s="7">
        <f ca="1">IFERROR(__xludf.DUMMYFUNCTION("""COMPUTED_VALUE"""),70)</f>
        <v>70</v>
      </c>
      <c r="L3" s="7">
        <f ca="1">IFERROR(__xludf.DUMMYFUNCTION("""COMPUTED_VALUE"""),20)</f>
        <v>20</v>
      </c>
      <c r="M3" s="8">
        <f ca="1">IFERROR(__xludf.DUMMYFUNCTION("""COMPUTED_VALUE"""),70)</f>
        <v>70</v>
      </c>
      <c r="N3" s="8">
        <f ca="1">IFERROR(__xludf.DUMMYFUNCTION("""COMPUTED_VALUE"""),20)</f>
        <v>20</v>
      </c>
      <c r="O3" s="9">
        <f ca="1">IFERROR(__xludf.DUMMYFUNCTION("""COMPUTED_VALUE"""),52)</f>
        <v>52</v>
      </c>
      <c r="P3" s="9">
        <f ca="1">IFERROR(__xludf.DUMMYFUNCTION("""COMPUTED_VALUE"""),0)</f>
        <v>0</v>
      </c>
      <c r="Q3" s="10">
        <f ca="1">IFERROR(__xludf.DUMMYFUNCTION("""COMPUTED_VALUE"""),420)</f>
        <v>420</v>
      </c>
      <c r="R3" s="10">
        <f ca="1">IFERROR(__xludf.DUMMYFUNCTION("""COMPUTED_VALUE"""),40)</f>
        <v>40</v>
      </c>
      <c r="S3" s="11" t="str">
        <f ca="1">IFERROR(__xludf.DUMMYFUNCTION("""COMPUTED_VALUE"""),"Overgrow")</f>
        <v>Overgrow</v>
      </c>
      <c r="T3" s="11" t="str">
        <f ca="1">IFERROR(__xludf.DUMMYFUNCTION("""COMPUTED_VALUE"""),"Long Reach")</f>
        <v>Long Reach</v>
      </c>
      <c r="U3" s="11" t="str">
        <f ca="1">IFERROR(__xludf.DUMMYFUNCTION("""COMPUTED_VALUE"""),"Fluffy")</f>
        <v>Fluffy</v>
      </c>
      <c r="V3" s="12" t="str">
        <f ca="1">IFERROR(__xludf.DUMMYFUNCTION("""COMPUTED_VALUE"""),"Lv. 17")</f>
        <v>Lv. 17</v>
      </c>
      <c r="W3" s="12"/>
      <c r="X3" s="12"/>
      <c r="Y3" s="12" t="str">
        <f ca="1">IFERROR(__xludf.DUMMYFUNCTION("""COMPUTED_VALUE"""),"Rowlet (evolve)")</f>
        <v>Rowlet (evolve)</v>
      </c>
    </row>
    <row r="4" spans="1:25" x14ac:dyDescent="0.25">
      <c r="A4" s="15" t="str">
        <f ca="1">IFERROR(__xludf.DUMMYFUNCTION("""COMPUTED_VALUE"""),"Decidueye")</f>
        <v>Decidueye</v>
      </c>
      <c r="B4" s="16">
        <f ca="1">IFERROR(__xludf.DUMMYFUNCTION("""COMPUTED_VALUE"""),3)</f>
        <v>3</v>
      </c>
      <c r="C4" s="3" t="str">
        <f ca="1">IFERROR(__xludf.DUMMYFUNCTION("""COMPUTED_VALUE"""),"Grass")</f>
        <v>Grass</v>
      </c>
      <c r="D4" s="3" t="str">
        <f ca="1">IFERROR(__xludf.DUMMYFUNCTION("""COMPUTED_VALUE"""),"Ghost")</f>
        <v>Ghost</v>
      </c>
      <c r="E4" s="17">
        <f ca="1">IFERROR(__xludf.DUMMYFUNCTION("""COMPUTED_VALUE"""),78)</f>
        <v>78</v>
      </c>
      <c r="F4" s="17">
        <f ca="1">IFERROR(__xludf.DUMMYFUNCTION("""COMPUTED_VALUE"""),0)</f>
        <v>0</v>
      </c>
      <c r="G4" s="18">
        <f ca="1">IFERROR(__xludf.DUMMYFUNCTION("""COMPUTED_VALUE"""),107)</f>
        <v>107</v>
      </c>
      <c r="H4" s="18">
        <f ca="1">IFERROR(__xludf.DUMMYFUNCTION("""COMPUTED_VALUE"""),0)</f>
        <v>0</v>
      </c>
      <c r="I4" s="19">
        <f ca="1">IFERROR(__xludf.DUMMYFUNCTION("""COMPUTED_VALUE"""),75)</f>
        <v>75</v>
      </c>
      <c r="J4" s="19">
        <f ca="1">IFERROR(__xludf.DUMMYFUNCTION("""COMPUTED_VALUE"""),0)</f>
        <v>0</v>
      </c>
      <c r="K4" s="20">
        <f ca="1">IFERROR(__xludf.DUMMYFUNCTION("""COMPUTED_VALUE"""),94)</f>
        <v>94</v>
      </c>
      <c r="L4" s="20">
        <f ca="1">IFERROR(__xludf.DUMMYFUNCTION("""COMPUTED_VALUE"""),-6)</f>
        <v>-6</v>
      </c>
      <c r="M4" s="21">
        <f ca="1">IFERROR(__xludf.DUMMYFUNCTION("""COMPUTED_VALUE"""),100)</f>
        <v>100</v>
      </c>
      <c r="N4" s="21">
        <f ca="1">IFERROR(__xludf.DUMMYFUNCTION("""COMPUTED_VALUE"""),0)</f>
        <v>0</v>
      </c>
      <c r="O4" s="22">
        <f ca="1">IFERROR(__xludf.DUMMYFUNCTION("""COMPUTED_VALUE"""),76)</f>
        <v>76</v>
      </c>
      <c r="P4" s="22">
        <f ca="1">IFERROR(__xludf.DUMMYFUNCTION("""COMPUTED_VALUE"""),6)</f>
        <v>6</v>
      </c>
      <c r="Q4" s="23">
        <f ca="1">IFERROR(__xludf.DUMMYFUNCTION("""COMPUTED_VALUE"""),530)</f>
        <v>530</v>
      </c>
      <c r="R4" s="23">
        <f ca="1">IFERROR(__xludf.DUMMYFUNCTION("""COMPUTED_VALUE"""),0)</f>
        <v>0</v>
      </c>
      <c r="S4" s="24" t="str">
        <f ca="1">IFERROR(__xludf.DUMMYFUNCTION("""COMPUTED_VALUE"""),"Overgrow")</f>
        <v>Overgrow</v>
      </c>
      <c r="T4" s="24" t="str">
        <f ca="1">IFERROR(__xludf.DUMMYFUNCTION("""COMPUTED_VALUE"""),"Long Reach")</f>
        <v>Long Reach</v>
      </c>
      <c r="U4" s="24" t="str">
        <f ca="1">IFERROR(__xludf.DUMMYFUNCTION("""COMPUTED_VALUE"""),"Fluffy")</f>
        <v>Fluffy</v>
      </c>
      <c r="V4" s="25" t="str">
        <f ca="1">IFERROR(__xludf.DUMMYFUNCTION("""COMPUTED_VALUE"""),"Lv. 34, Night")</f>
        <v>Lv. 34, Night</v>
      </c>
      <c r="W4" s="25"/>
      <c r="X4" s="25"/>
      <c r="Y4" s="25" t="str">
        <f ca="1">IFERROR(__xludf.DUMMYFUNCTION("""COMPUTED_VALUE"""),"Dartrix (evolve)")</f>
        <v>Dartrix (evolve)</v>
      </c>
    </row>
    <row r="5" spans="1:25" x14ac:dyDescent="0.25">
      <c r="A5" s="15" t="str">
        <f ca="1">IFERROR(__xludf.DUMMYFUNCTION("""COMPUTED_VALUE"""),"Litten")</f>
        <v>Litten</v>
      </c>
      <c r="B5" s="16">
        <f ca="1">IFERROR(__xludf.DUMMYFUNCTION("""COMPUTED_VALUE"""),4)</f>
        <v>4</v>
      </c>
      <c r="C5" s="3" t="str">
        <f ca="1">IFERROR(__xludf.DUMMYFUNCTION("""COMPUTED_VALUE"""),"Fire")</f>
        <v>Fire</v>
      </c>
      <c r="D5" s="3"/>
      <c r="E5" s="17">
        <f ca="1">IFERROR(__xludf.DUMMYFUNCTION("""COMPUTED_VALUE"""),45)</f>
        <v>45</v>
      </c>
      <c r="F5" s="17">
        <f ca="1">IFERROR(__xludf.DUMMYFUNCTION("""COMPUTED_VALUE"""),0)</f>
        <v>0</v>
      </c>
      <c r="G5" s="18">
        <f ca="1">IFERROR(__xludf.DUMMYFUNCTION("""COMPUTED_VALUE"""),65)</f>
        <v>65</v>
      </c>
      <c r="H5" s="18">
        <f ca="1">IFERROR(__xludf.DUMMYFUNCTION("""COMPUTED_VALUE"""),0)</f>
        <v>0</v>
      </c>
      <c r="I5" s="19">
        <f ca="1">IFERROR(__xludf.DUMMYFUNCTION("""COMPUTED_VALUE"""),40)</f>
        <v>40</v>
      </c>
      <c r="J5" s="19">
        <f ca="1">IFERROR(__xludf.DUMMYFUNCTION("""COMPUTED_VALUE"""),0)</f>
        <v>0</v>
      </c>
      <c r="K5" s="20">
        <f ca="1">IFERROR(__xludf.DUMMYFUNCTION("""COMPUTED_VALUE"""),60)</f>
        <v>60</v>
      </c>
      <c r="L5" s="20">
        <f ca="1">IFERROR(__xludf.DUMMYFUNCTION("""COMPUTED_VALUE"""),0)</f>
        <v>0</v>
      </c>
      <c r="M5" s="21">
        <f ca="1">IFERROR(__xludf.DUMMYFUNCTION("""COMPUTED_VALUE"""),40)</f>
        <v>40</v>
      </c>
      <c r="N5" s="21">
        <f ca="1">IFERROR(__xludf.DUMMYFUNCTION("""COMPUTED_VALUE"""),0)</f>
        <v>0</v>
      </c>
      <c r="O5" s="22">
        <f ca="1">IFERROR(__xludf.DUMMYFUNCTION("""COMPUTED_VALUE"""),70)</f>
        <v>70</v>
      </c>
      <c r="P5" s="22">
        <f ca="1">IFERROR(__xludf.DUMMYFUNCTION("""COMPUTED_VALUE"""),0)</f>
        <v>0</v>
      </c>
      <c r="Q5" s="23">
        <f ca="1">IFERROR(__xludf.DUMMYFUNCTION("""COMPUTED_VALUE"""),320)</f>
        <v>320</v>
      </c>
      <c r="R5" s="23">
        <f ca="1">IFERROR(__xludf.DUMMYFUNCTION("""COMPUTED_VALUE"""),0)</f>
        <v>0</v>
      </c>
      <c r="S5" s="24" t="str">
        <f ca="1">IFERROR(__xludf.DUMMYFUNCTION("""COMPUTED_VALUE"""),"Blaze")</f>
        <v>Blaze</v>
      </c>
      <c r="T5" s="24" t="str">
        <f ca="1">IFERROR(__xludf.DUMMYFUNCTION("""COMPUTED_VALUE"""),"Rivalry")</f>
        <v>Rivalry</v>
      </c>
      <c r="U5" s="24" t="str">
        <f ca="1">IFERROR(__xludf.DUMMYFUNCTION("""COMPUTED_VALUE"""),"Intimidate")</f>
        <v>Intimidate</v>
      </c>
      <c r="V5" s="25"/>
      <c r="W5" s="25"/>
      <c r="X5" s="25"/>
      <c r="Y5" s="25" t="str">
        <f ca="1">IFERROR(__xludf.DUMMYFUNCTION("""COMPUTED_VALUE"""),"Starter, 100 Unique Species (event) Sea of Vulcai (wild)")</f>
        <v>Starter, 100 Unique Species (event) Sea of Vulcai (wild)</v>
      </c>
    </row>
    <row r="6" spans="1:25" x14ac:dyDescent="0.25">
      <c r="A6" s="15" t="str">
        <f ca="1">IFERROR(__xludf.DUMMYFUNCTION("""COMPUTED_VALUE"""),"Torracat")</f>
        <v>Torracat</v>
      </c>
      <c r="B6" s="16">
        <f ca="1">IFERROR(__xludf.DUMMYFUNCTION("""COMPUTED_VALUE"""),5)</f>
        <v>5</v>
      </c>
      <c r="C6" s="3" t="str">
        <f ca="1">IFERROR(__xludf.DUMMYFUNCTION("""COMPUTED_VALUE"""),"Fire")</f>
        <v>Fire</v>
      </c>
      <c r="D6" s="3"/>
      <c r="E6" s="17">
        <f ca="1">IFERROR(__xludf.DUMMYFUNCTION("""COMPUTED_VALUE"""),65)</f>
        <v>65</v>
      </c>
      <c r="F6" s="17">
        <f ca="1">IFERROR(__xludf.DUMMYFUNCTION("""COMPUTED_VALUE"""),0)</f>
        <v>0</v>
      </c>
      <c r="G6" s="18">
        <f ca="1">IFERROR(__xludf.DUMMYFUNCTION("""COMPUTED_VALUE"""),85)</f>
        <v>85</v>
      </c>
      <c r="H6" s="18">
        <f ca="1">IFERROR(__xludf.DUMMYFUNCTION("""COMPUTED_VALUE"""),0)</f>
        <v>0</v>
      </c>
      <c r="I6" s="19">
        <f ca="1">IFERROR(__xludf.DUMMYFUNCTION("""COMPUTED_VALUE"""),50)</f>
        <v>50</v>
      </c>
      <c r="J6" s="19">
        <f ca="1">IFERROR(__xludf.DUMMYFUNCTION("""COMPUTED_VALUE"""),0)</f>
        <v>0</v>
      </c>
      <c r="K6" s="20">
        <f ca="1">IFERROR(__xludf.DUMMYFUNCTION("""COMPUTED_VALUE"""),80)</f>
        <v>80</v>
      </c>
      <c r="L6" s="20">
        <f ca="1">IFERROR(__xludf.DUMMYFUNCTION("""COMPUTED_VALUE"""),0)</f>
        <v>0</v>
      </c>
      <c r="M6" s="21">
        <f ca="1">IFERROR(__xludf.DUMMYFUNCTION("""COMPUTED_VALUE"""),50)</f>
        <v>50</v>
      </c>
      <c r="N6" s="21">
        <f ca="1">IFERROR(__xludf.DUMMYFUNCTION("""COMPUTED_VALUE"""),0)</f>
        <v>0</v>
      </c>
      <c r="O6" s="22">
        <f ca="1">IFERROR(__xludf.DUMMYFUNCTION("""COMPUTED_VALUE"""),90)</f>
        <v>90</v>
      </c>
      <c r="P6" s="22">
        <f ca="1">IFERROR(__xludf.DUMMYFUNCTION("""COMPUTED_VALUE"""),0)</f>
        <v>0</v>
      </c>
      <c r="Q6" s="23">
        <f ca="1">IFERROR(__xludf.DUMMYFUNCTION("""COMPUTED_VALUE"""),420)</f>
        <v>420</v>
      </c>
      <c r="R6" s="23">
        <f ca="1">IFERROR(__xludf.DUMMYFUNCTION("""COMPUTED_VALUE"""),0)</f>
        <v>0</v>
      </c>
      <c r="S6" s="24" t="str">
        <f ca="1">IFERROR(__xludf.DUMMYFUNCTION("""COMPUTED_VALUE"""),"Blaze")</f>
        <v>Blaze</v>
      </c>
      <c r="T6" s="24" t="str">
        <f ca="1">IFERROR(__xludf.DUMMYFUNCTION("""COMPUTED_VALUE"""),"Rivalry")</f>
        <v>Rivalry</v>
      </c>
      <c r="U6" s="24" t="str">
        <f ca="1">IFERROR(__xludf.DUMMYFUNCTION("""COMPUTED_VALUE"""),"Intimidate")</f>
        <v>Intimidate</v>
      </c>
      <c r="V6" s="25" t="str">
        <f ca="1">IFERROR(__xludf.DUMMYFUNCTION("""COMPUTED_VALUE"""),"Lv. 17")</f>
        <v>Lv. 17</v>
      </c>
      <c r="W6" s="25"/>
      <c r="X6" s="25"/>
      <c r="Y6" s="25" t="str">
        <f ca="1">IFERROR(__xludf.DUMMYFUNCTION("""COMPUTED_VALUE"""),"Litten (evolve)")</f>
        <v>Litten (evolve)</v>
      </c>
    </row>
    <row r="7" spans="1:25" x14ac:dyDescent="0.25">
      <c r="A7" s="15" t="str">
        <f ca="1">IFERROR(__xludf.DUMMYFUNCTION("""COMPUTED_VALUE"""),"Incineroar")</f>
        <v>Incineroar</v>
      </c>
      <c r="B7" s="16">
        <f ca="1">IFERROR(__xludf.DUMMYFUNCTION("""COMPUTED_VALUE"""),6)</f>
        <v>6</v>
      </c>
      <c r="C7" s="3" t="str">
        <f ca="1">IFERROR(__xludf.DUMMYFUNCTION("""COMPUTED_VALUE"""),"Fire")</f>
        <v>Fire</v>
      </c>
      <c r="D7" s="3" t="str">
        <f ca="1">IFERROR(__xludf.DUMMYFUNCTION("""COMPUTED_VALUE"""),"Dark")</f>
        <v>Dark</v>
      </c>
      <c r="E7" s="17">
        <f ca="1">IFERROR(__xludf.DUMMYFUNCTION("""COMPUTED_VALUE"""),95)</f>
        <v>95</v>
      </c>
      <c r="F7" s="17">
        <f ca="1">IFERROR(__xludf.DUMMYFUNCTION("""COMPUTED_VALUE"""),0)</f>
        <v>0</v>
      </c>
      <c r="G7" s="18">
        <f ca="1">IFERROR(__xludf.DUMMYFUNCTION("""COMPUTED_VALUE"""),115)</f>
        <v>115</v>
      </c>
      <c r="H7" s="18">
        <f ca="1">IFERROR(__xludf.DUMMYFUNCTION("""COMPUTED_VALUE"""),0)</f>
        <v>0</v>
      </c>
      <c r="I7" s="19">
        <f ca="1">IFERROR(__xludf.DUMMYFUNCTION("""COMPUTED_VALUE"""),90)</f>
        <v>90</v>
      </c>
      <c r="J7" s="19">
        <f ca="1">IFERROR(__xludf.DUMMYFUNCTION("""COMPUTED_VALUE"""),0)</f>
        <v>0</v>
      </c>
      <c r="K7" s="20">
        <f ca="1">IFERROR(__xludf.DUMMYFUNCTION("""COMPUTED_VALUE"""),80)</f>
        <v>80</v>
      </c>
      <c r="L7" s="20">
        <f ca="1">IFERROR(__xludf.DUMMYFUNCTION("""COMPUTED_VALUE"""),0)</f>
        <v>0</v>
      </c>
      <c r="M7" s="21">
        <f ca="1">IFERROR(__xludf.DUMMYFUNCTION("""COMPUTED_VALUE"""),90)</f>
        <v>90</v>
      </c>
      <c r="N7" s="21">
        <f ca="1">IFERROR(__xludf.DUMMYFUNCTION("""COMPUTED_VALUE"""),0)</f>
        <v>0</v>
      </c>
      <c r="O7" s="22">
        <f ca="1">IFERROR(__xludf.DUMMYFUNCTION("""COMPUTED_VALUE"""),60)</f>
        <v>60</v>
      </c>
      <c r="P7" s="22">
        <f ca="1">IFERROR(__xludf.DUMMYFUNCTION("""COMPUTED_VALUE"""),0)</f>
        <v>0</v>
      </c>
      <c r="Q7" s="23">
        <f ca="1">IFERROR(__xludf.DUMMYFUNCTION("""COMPUTED_VALUE"""),530)</f>
        <v>530</v>
      </c>
      <c r="R7" s="23">
        <f ca="1">IFERROR(__xludf.DUMMYFUNCTION("""COMPUTED_VALUE"""),0)</f>
        <v>0</v>
      </c>
      <c r="S7" s="24" t="str">
        <f ca="1">IFERROR(__xludf.DUMMYFUNCTION("""COMPUTED_VALUE"""),"Blaze")</f>
        <v>Blaze</v>
      </c>
      <c r="T7" s="24" t="str">
        <f ca="1">IFERROR(__xludf.DUMMYFUNCTION("""COMPUTED_VALUE"""),"Rivalry")</f>
        <v>Rivalry</v>
      </c>
      <c r="U7" s="24" t="str">
        <f ca="1">IFERROR(__xludf.DUMMYFUNCTION("""COMPUTED_VALUE"""),"Intimidate")</f>
        <v>Intimidate</v>
      </c>
      <c r="V7" s="25" t="str">
        <f ca="1">IFERROR(__xludf.DUMMYFUNCTION("""COMPUTED_VALUE"""),"Lv. 34")</f>
        <v>Lv. 34</v>
      </c>
      <c r="W7" s="25"/>
      <c r="X7" s="25"/>
      <c r="Y7" s="25" t="str">
        <f ca="1">IFERROR(__xludf.DUMMYFUNCTION("""COMPUTED_VALUE"""),"Torracat (evolve)")</f>
        <v>Torracat (evolve)</v>
      </c>
    </row>
    <row r="8" spans="1:25" x14ac:dyDescent="0.25">
      <c r="A8" s="15" t="str">
        <f ca="1">IFERROR(__xludf.DUMMYFUNCTION("""COMPUTED_VALUE"""),"Popplio")</f>
        <v>Popplio</v>
      </c>
      <c r="B8" s="16">
        <f ca="1">IFERROR(__xludf.DUMMYFUNCTION("""COMPUTED_VALUE"""),7)</f>
        <v>7</v>
      </c>
      <c r="C8" s="3" t="str">
        <f ca="1">IFERROR(__xludf.DUMMYFUNCTION("""COMPUTED_VALUE"""),"Water")</f>
        <v>Water</v>
      </c>
      <c r="D8" s="3"/>
      <c r="E8" s="17">
        <f ca="1">IFERROR(__xludf.DUMMYFUNCTION("""COMPUTED_VALUE"""),50)</f>
        <v>50</v>
      </c>
      <c r="F8" s="17">
        <f ca="1">IFERROR(__xludf.DUMMYFUNCTION("""COMPUTED_VALUE"""),0)</f>
        <v>0</v>
      </c>
      <c r="G8" s="18">
        <f ca="1">IFERROR(__xludf.DUMMYFUNCTION("""COMPUTED_VALUE"""),54)</f>
        <v>54</v>
      </c>
      <c r="H8" s="18">
        <f ca="1">IFERROR(__xludf.DUMMYFUNCTION("""COMPUTED_VALUE"""),0)</f>
        <v>0</v>
      </c>
      <c r="I8" s="19">
        <f ca="1">IFERROR(__xludf.DUMMYFUNCTION("""COMPUTED_VALUE"""),54)</f>
        <v>54</v>
      </c>
      <c r="J8" s="19">
        <f ca="1">IFERROR(__xludf.DUMMYFUNCTION("""COMPUTED_VALUE"""),0)</f>
        <v>0</v>
      </c>
      <c r="K8" s="20">
        <f ca="1">IFERROR(__xludf.DUMMYFUNCTION("""COMPUTED_VALUE"""),66)</f>
        <v>66</v>
      </c>
      <c r="L8" s="20">
        <f ca="1">IFERROR(__xludf.DUMMYFUNCTION("""COMPUTED_VALUE"""),0)</f>
        <v>0</v>
      </c>
      <c r="M8" s="21">
        <f ca="1">IFERROR(__xludf.DUMMYFUNCTION("""COMPUTED_VALUE"""),56)</f>
        <v>56</v>
      </c>
      <c r="N8" s="21">
        <f ca="1">IFERROR(__xludf.DUMMYFUNCTION("""COMPUTED_VALUE"""),0)</f>
        <v>0</v>
      </c>
      <c r="O8" s="22">
        <f ca="1">IFERROR(__xludf.DUMMYFUNCTION("""COMPUTED_VALUE"""),40)</f>
        <v>40</v>
      </c>
      <c r="P8" s="22">
        <f ca="1">IFERROR(__xludf.DUMMYFUNCTION("""COMPUTED_VALUE"""),0)</f>
        <v>0</v>
      </c>
      <c r="Q8" s="23">
        <f ca="1">IFERROR(__xludf.DUMMYFUNCTION("""COMPUTED_VALUE"""),320)</f>
        <v>320</v>
      </c>
      <c r="R8" s="23">
        <f ca="1">IFERROR(__xludf.DUMMYFUNCTION("""COMPUTED_VALUE"""),0)</f>
        <v>0</v>
      </c>
      <c r="S8" s="24" t="str">
        <f ca="1">IFERROR(__xludf.DUMMYFUNCTION("""COMPUTED_VALUE"""),"Torrent")</f>
        <v>Torrent</v>
      </c>
      <c r="T8" s="24" t="str">
        <f ca="1">IFERROR(__xludf.DUMMYFUNCTION("""COMPUTED_VALUE"""),"Liquid Voice")</f>
        <v>Liquid Voice</v>
      </c>
      <c r="U8" s="24" t="str">
        <f ca="1">IFERROR(__xludf.DUMMYFUNCTION("""COMPUTED_VALUE"""),"Propeller Tail")</f>
        <v>Propeller Tail</v>
      </c>
      <c r="V8" s="25"/>
      <c r="W8" s="25"/>
      <c r="X8" s="25"/>
      <c r="Y8" s="25" t="str">
        <f ca="1">IFERROR(__xludf.DUMMYFUNCTION("""COMPUTED_VALUE"""),"Starter, 100 Unique Species (event) Sea of Vulcai (wild)")</f>
        <v>Starter, 100 Unique Species (event) Sea of Vulcai (wild)</v>
      </c>
    </row>
    <row r="9" spans="1:25" x14ac:dyDescent="0.25">
      <c r="A9" s="15" t="str">
        <f ca="1">IFERROR(__xludf.DUMMYFUNCTION("""COMPUTED_VALUE"""),"Brionne")</f>
        <v>Brionne</v>
      </c>
      <c r="B9" s="16">
        <f ca="1">IFERROR(__xludf.DUMMYFUNCTION("""COMPUTED_VALUE"""),8)</f>
        <v>8</v>
      </c>
      <c r="C9" s="3" t="str">
        <f ca="1">IFERROR(__xludf.DUMMYFUNCTION("""COMPUTED_VALUE"""),"Water")</f>
        <v>Water</v>
      </c>
      <c r="D9" s="3"/>
      <c r="E9" s="17">
        <f ca="1">IFERROR(__xludf.DUMMYFUNCTION("""COMPUTED_VALUE"""),60)</f>
        <v>60</v>
      </c>
      <c r="F9" s="17">
        <f ca="1">IFERROR(__xludf.DUMMYFUNCTION("""COMPUTED_VALUE"""),0)</f>
        <v>0</v>
      </c>
      <c r="G9" s="18">
        <f ca="1">IFERROR(__xludf.DUMMYFUNCTION("""COMPUTED_VALUE"""),69)</f>
        <v>69</v>
      </c>
      <c r="H9" s="18">
        <f ca="1">IFERROR(__xludf.DUMMYFUNCTION("""COMPUTED_VALUE"""),0)</f>
        <v>0</v>
      </c>
      <c r="I9" s="19">
        <f ca="1">IFERROR(__xludf.DUMMYFUNCTION("""COMPUTED_VALUE"""),69)</f>
        <v>69</v>
      </c>
      <c r="J9" s="19">
        <f ca="1">IFERROR(__xludf.DUMMYFUNCTION("""COMPUTED_VALUE"""),0)</f>
        <v>0</v>
      </c>
      <c r="K9" s="20">
        <f ca="1">IFERROR(__xludf.DUMMYFUNCTION("""COMPUTED_VALUE"""),91)</f>
        <v>91</v>
      </c>
      <c r="L9" s="20">
        <f ca="1">IFERROR(__xludf.DUMMYFUNCTION("""COMPUTED_VALUE"""),0)</f>
        <v>0</v>
      </c>
      <c r="M9" s="21">
        <f ca="1">IFERROR(__xludf.DUMMYFUNCTION("""COMPUTED_VALUE"""),81)</f>
        <v>81</v>
      </c>
      <c r="N9" s="21">
        <f ca="1">IFERROR(__xludf.DUMMYFUNCTION("""COMPUTED_VALUE"""),0)</f>
        <v>0</v>
      </c>
      <c r="O9" s="22">
        <f ca="1">IFERROR(__xludf.DUMMYFUNCTION("""COMPUTED_VALUE"""),50)</f>
        <v>50</v>
      </c>
      <c r="P9" s="22">
        <f ca="1">IFERROR(__xludf.DUMMYFUNCTION("""COMPUTED_VALUE"""),0)</f>
        <v>0</v>
      </c>
      <c r="Q9" s="23">
        <f ca="1">IFERROR(__xludf.DUMMYFUNCTION("""COMPUTED_VALUE"""),420)</f>
        <v>420</v>
      </c>
      <c r="R9" s="23">
        <f ca="1">IFERROR(__xludf.DUMMYFUNCTION("""COMPUTED_VALUE"""),0)</f>
        <v>0</v>
      </c>
      <c r="S9" s="24" t="str">
        <f ca="1">IFERROR(__xludf.DUMMYFUNCTION("""COMPUTED_VALUE"""),"Torrent")</f>
        <v>Torrent</v>
      </c>
      <c r="T9" s="24" t="str">
        <f ca="1">IFERROR(__xludf.DUMMYFUNCTION("""COMPUTED_VALUE"""),"Liquid Voice")</f>
        <v>Liquid Voice</v>
      </c>
      <c r="U9" s="24" t="str">
        <f ca="1">IFERROR(__xludf.DUMMYFUNCTION("""COMPUTED_VALUE"""),"Propeller Tail")</f>
        <v>Propeller Tail</v>
      </c>
      <c r="V9" s="25" t="str">
        <f ca="1">IFERROR(__xludf.DUMMYFUNCTION("""COMPUTED_VALUE"""),"Lv. 17")</f>
        <v>Lv. 17</v>
      </c>
      <c r="W9" s="25"/>
      <c r="X9" s="25"/>
      <c r="Y9" s="25" t="str">
        <f ca="1">IFERROR(__xludf.DUMMYFUNCTION("""COMPUTED_VALUE"""),"Popplio (evolve)")</f>
        <v>Popplio (evolve)</v>
      </c>
    </row>
    <row r="10" spans="1:25" x14ac:dyDescent="0.25">
      <c r="A10" s="15" t="str">
        <f ca="1">IFERROR(__xludf.DUMMYFUNCTION("""COMPUTED_VALUE"""),"Primarina")</f>
        <v>Primarina</v>
      </c>
      <c r="B10" s="16">
        <f ca="1">IFERROR(__xludf.DUMMYFUNCTION("""COMPUTED_VALUE"""),9)</f>
        <v>9</v>
      </c>
      <c r="C10" s="3" t="str">
        <f ca="1">IFERROR(__xludf.DUMMYFUNCTION("""COMPUTED_VALUE"""),"Water")</f>
        <v>Water</v>
      </c>
      <c r="D10" s="3" t="str">
        <f ca="1">IFERROR(__xludf.DUMMYFUNCTION("""COMPUTED_VALUE"""),"Fairy")</f>
        <v>Fairy</v>
      </c>
      <c r="E10" s="17">
        <f ca="1">IFERROR(__xludf.DUMMYFUNCTION("""COMPUTED_VALUE"""),80)</f>
        <v>80</v>
      </c>
      <c r="F10" s="17">
        <f ca="1">IFERROR(__xludf.DUMMYFUNCTION("""COMPUTED_VALUE"""),0)</f>
        <v>0</v>
      </c>
      <c r="G10" s="18">
        <f ca="1">IFERROR(__xludf.DUMMYFUNCTION("""COMPUTED_VALUE"""),74)</f>
        <v>74</v>
      </c>
      <c r="H10" s="18">
        <f ca="1">IFERROR(__xludf.DUMMYFUNCTION("""COMPUTED_VALUE"""),0)</f>
        <v>0</v>
      </c>
      <c r="I10" s="19">
        <f ca="1">IFERROR(__xludf.DUMMYFUNCTION("""COMPUTED_VALUE"""),74)</f>
        <v>74</v>
      </c>
      <c r="J10" s="19">
        <f ca="1">IFERROR(__xludf.DUMMYFUNCTION("""COMPUTED_VALUE"""),0)</f>
        <v>0</v>
      </c>
      <c r="K10" s="20">
        <f ca="1">IFERROR(__xludf.DUMMYFUNCTION("""COMPUTED_VALUE"""),126)</f>
        <v>126</v>
      </c>
      <c r="L10" s="20">
        <f ca="1">IFERROR(__xludf.DUMMYFUNCTION("""COMPUTED_VALUE"""),0)</f>
        <v>0</v>
      </c>
      <c r="M10" s="21">
        <f ca="1">IFERROR(__xludf.DUMMYFUNCTION("""COMPUTED_VALUE"""),116)</f>
        <v>116</v>
      </c>
      <c r="N10" s="21">
        <f ca="1">IFERROR(__xludf.DUMMYFUNCTION("""COMPUTED_VALUE"""),0)</f>
        <v>0</v>
      </c>
      <c r="O10" s="22">
        <f ca="1">IFERROR(__xludf.DUMMYFUNCTION("""COMPUTED_VALUE"""),60)</f>
        <v>60</v>
      </c>
      <c r="P10" s="22">
        <f ca="1">IFERROR(__xludf.DUMMYFUNCTION("""COMPUTED_VALUE"""),0)</f>
        <v>0</v>
      </c>
      <c r="Q10" s="23">
        <f ca="1">IFERROR(__xludf.DUMMYFUNCTION("""COMPUTED_VALUE"""),530)</f>
        <v>530</v>
      </c>
      <c r="R10" s="23">
        <f ca="1">IFERROR(__xludf.DUMMYFUNCTION("""COMPUTED_VALUE"""),0)</f>
        <v>0</v>
      </c>
      <c r="S10" s="24" t="str">
        <f ca="1">IFERROR(__xludf.DUMMYFUNCTION("""COMPUTED_VALUE"""),"Torrent")</f>
        <v>Torrent</v>
      </c>
      <c r="T10" s="24" t="str">
        <f ca="1">IFERROR(__xludf.DUMMYFUNCTION("""COMPUTED_VALUE"""),"Liquid Voice")</f>
        <v>Liquid Voice</v>
      </c>
      <c r="U10" s="24" t="str">
        <f ca="1">IFERROR(__xludf.DUMMYFUNCTION("""COMPUTED_VALUE"""),"Propeller Tail")</f>
        <v>Propeller Tail</v>
      </c>
      <c r="V10" s="25" t="str">
        <f ca="1">IFERROR(__xludf.DUMMYFUNCTION("""COMPUTED_VALUE"""),"Lv. 34")</f>
        <v>Lv. 34</v>
      </c>
      <c r="W10" s="25"/>
      <c r="X10" s="25"/>
      <c r="Y10" s="25" t="str">
        <f ca="1">IFERROR(__xludf.DUMMYFUNCTION("""COMPUTED_VALUE"""),"Brionne (evolve)")</f>
        <v>Brionne (evolve)</v>
      </c>
    </row>
    <row r="11" spans="1:25" x14ac:dyDescent="0.25">
      <c r="A11" s="15" t="str">
        <f ca="1">IFERROR(__xludf.DUMMYFUNCTION("""COMPUTED_VALUE"""),"Chespin")</f>
        <v>Chespin</v>
      </c>
      <c r="B11" s="16">
        <f ca="1">IFERROR(__xludf.DUMMYFUNCTION("""COMPUTED_VALUE"""),10)</f>
        <v>10</v>
      </c>
      <c r="C11" s="3" t="str">
        <f ca="1">IFERROR(__xludf.DUMMYFUNCTION("""COMPUTED_VALUE"""),"Grass")</f>
        <v>Grass</v>
      </c>
      <c r="D11" s="3"/>
      <c r="E11" s="17">
        <f ca="1">IFERROR(__xludf.DUMMYFUNCTION("""COMPUTED_VALUE"""),56)</f>
        <v>56</v>
      </c>
      <c r="F11" s="17">
        <f ca="1">IFERROR(__xludf.DUMMYFUNCTION("""COMPUTED_VALUE"""),0)</f>
        <v>0</v>
      </c>
      <c r="G11" s="18">
        <f ca="1">IFERROR(__xludf.DUMMYFUNCTION("""COMPUTED_VALUE"""),61)</f>
        <v>61</v>
      </c>
      <c r="H11" s="18">
        <f ca="1">IFERROR(__xludf.DUMMYFUNCTION("""COMPUTED_VALUE"""),0)</f>
        <v>0</v>
      </c>
      <c r="I11" s="19">
        <f ca="1">IFERROR(__xludf.DUMMYFUNCTION("""COMPUTED_VALUE"""),65)</f>
        <v>65</v>
      </c>
      <c r="J11" s="19">
        <f ca="1">IFERROR(__xludf.DUMMYFUNCTION("""COMPUTED_VALUE"""),0)</f>
        <v>0</v>
      </c>
      <c r="K11" s="20">
        <f ca="1">IFERROR(__xludf.DUMMYFUNCTION("""COMPUTED_VALUE"""),48)</f>
        <v>48</v>
      </c>
      <c r="L11" s="20">
        <f ca="1">IFERROR(__xludf.DUMMYFUNCTION("""COMPUTED_VALUE"""),0)</f>
        <v>0</v>
      </c>
      <c r="M11" s="21">
        <f ca="1">IFERROR(__xludf.DUMMYFUNCTION("""COMPUTED_VALUE"""),45)</f>
        <v>45</v>
      </c>
      <c r="N11" s="21">
        <f ca="1">IFERROR(__xludf.DUMMYFUNCTION("""COMPUTED_VALUE"""),0)</f>
        <v>0</v>
      </c>
      <c r="O11" s="22">
        <f ca="1">IFERROR(__xludf.DUMMYFUNCTION("""COMPUTED_VALUE"""),38)</f>
        <v>38</v>
      </c>
      <c r="P11" s="22">
        <f ca="1">IFERROR(__xludf.DUMMYFUNCTION("""COMPUTED_VALUE"""),0)</f>
        <v>0</v>
      </c>
      <c r="Q11" s="23">
        <f ca="1">IFERROR(__xludf.DUMMYFUNCTION("""COMPUTED_VALUE"""),313)</f>
        <v>313</v>
      </c>
      <c r="R11" s="23">
        <f ca="1">IFERROR(__xludf.DUMMYFUNCTION("""COMPUTED_VALUE"""),0)</f>
        <v>0</v>
      </c>
      <c r="S11" s="24" t="str">
        <f ca="1">IFERROR(__xludf.DUMMYFUNCTION("""COMPUTED_VALUE"""),"Overgrow")</f>
        <v>Overgrow</v>
      </c>
      <c r="T11" s="24" t="str">
        <f ca="1">IFERROR(__xludf.DUMMYFUNCTION("""COMPUTED_VALUE"""),"Long Reach")</f>
        <v>Long Reach</v>
      </c>
      <c r="U11" s="24" t="str">
        <f ca="1">IFERROR(__xludf.DUMMYFUNCTION("""COMPUTED_VALUE"""),"Spiked Shell")</f>
        <v>Spiked Shell</v>
      </c>
      <c r="V11" s="25"/>
      <c r="W11" s="25"/>
      <c r="X11" s="25"/>
      <c r="Y11" s="25" t="str">
        <f ca="1">IFERROR(__xludf.DUMMYFUNCTION("""COMPUTED_VALUE"""),"Starter, 135 Unique Species (event) Sea of Asteri (wild)")</f>
        <v>Starter, 135 Unique Species (event) Sea of Asteri (wild)</v>
      </c>
    </row>
    <row r="12" spans="1:25" x14ac:dyDescent="0.25">
      <c r="A12" s="15" t="str">
        <f ca="1">IFERROR(__xludf.DUMMYFUNCTION("""COMPUTED_VALUE"""),"Quilladin")</f>
        <v>Quilladin</v>
      </c>
      <c r="B12" s="16">
        <f ca="1">IFERROR(__xludf.DUMMYFUNCTION("""COMPUTED_VALUE"""),11)</f>
        <v>11</v>
      </c>
      <c r="C12" s="3" t="str">
        <f ca="1">IFERROR(__xludf.DUMMYFUNCTION("""COMPUTED_VALUE"""),"Grass")</f>
        <v>Grass</v>
      </c>
      <c r="D12" s="3"/>
      <c r="E12" s="17">
        <f ca="1">IFERROR(__xludf.DUMMYFUNCTION("""COMPUTED_VALUE"""),61)</f>
        <v>61</v>
      </c>
      <c r="F12" s="17">
        <f ca="1">IFERROR(__xludf.DUMMYFUNCTION("""COMPUTED_VALUE"""),0)</f>
        <v>0</v>
      </c>
      <c r="G12" s="18">
        <f ca="1">IFERROR(__xludf.DUMMYFUNCTION("""COMPUTED_VALUE"""),78)</f>
        <v>78</v>
      </c>
      <c r="H12" s="18">
        <f ca="1">IFERROR(__xludf.DUMMYFUNCTION("""COMPUTED_VALUE"""),0)</f>
        <v>0</v>
      </c>
      <c r="I12" s="19">
        <f ca="1">IFERROR(__xludf.DUMMYFUNCTION("""COMPUTED_VALUE"""),95)</f>
        <v>95</v>
      </c>
      <c r="J12" s="19">
        <f ca="1">IFERROR(__xludf.DUMMYFUNCTION("""COMPUTED_VALUE"""),0)</f>
        <v>0</v>
      </c>
      <c r="K12" s="20">
        <f ca="1">IFERROR(__xludf.DUMMYFUNCTION("""COMPUTED_VALUE"""),56)</f>
        <v>56</v>
      </c>
      <c r="L12" s="20">
        <f ca="1">IFERROR(__xludf.DUMMYFUNCTION("""COMPUTED_VALUE"""),0)</f>
        <v>0</v>
      </c>
      <c r="M12" s="21">
        <f ca="1">IFERROR(__xludf.DUMMYFUNCTION("""COMPUTED_VALUE"""),58)</f>
        <v>58</v>
      </c>
      <c r="N12" s="21">
        <f ca="1">IFERROR(__xludf.DUMMYFUNCTION("""COMPUTED_VALUE"""),0)</f>
        <v>0</v>
      </c>
      <c r="O12" s="22">
        <f ca="1">IFERROR(__xludf.DUMMYFUNCTION("""COMPUTED_VALUE"""),57)</f>
        <v>57</v>
      </c>
      <c r="P12" s="22">
        <f ca="1">IFERROR(__xludf.DUMMYFUNCTION("""COMPUTED_VALUE"""),0)</f>
        <v>0</v>
      </c>
      <c r="Q12" s="23">
        <f ca="1">IFERROR(__xludf.DUMMYFUNCTION("""COMPUTED_VALUE"""),405)</f>
        <v>405</v>
      </c>
      <c r="R12" s="23">
        <f ca="1">IFERROR(__xludf.DUMMYFUNCTION("""COMPUTED_VALUE"""),0)</f>
        <v>0</v>
      </c>
      <c r="S12" s="24" t="str">
        <f ca="1">IFERROR(__xludf.DUMMYFUNCTION("""COMPUTED_VALUE"""),"Overgrow")</f>
        <v>Overgrow</v>
      </c>
      <c r="T12" s="24" t="str">
        <f ca="1">IFERROR(__xludf.DUMMYFUNCTION("""COMPUTED_VALUE"""),"Long Reach")</f>
        <v>Long Reach</v>
      </c>
      <c r="U12" s="24" t="str">
        <f ca="1">IFERROR(__xludf.DUMMYFUNCTION("""COMPUTED_VALUE"""),"Spiked Shell")</f>
        <v>Spiked Shell</v>
      </c>
      <c r="V12" s="25" t="str">
        <f ca="1">IFERROR(__xludf.DUMMYFUNCTION("""COMPUTED_VALUE"""),"Lv. 16")</f>
        <v>Lv. 16</v>
      </c>
      <c r="W12" s="25"/>
      <c r="X12" s="25"/>
      <c r="Y12" s="25" t="str">
        <f ca="1">IFERROR(__xludf.DUMMYFUNCTION("""COMPUTED_VALUE"""),"Chespin (evolve)")</f>
        <v>Chespin (evolve)</v>
      </c>
    </row>
    <row r="13" spans="1:25" x14ac:dyDescent="0.25">
      <c r="A13" s="15" t="str">
        <f ca="1">IFERROR(__xludf.DUMMYFUNCTION("""COMPUTED_VALUE"""),"Chesnaught")</f>
        <v>Chesnaught</v>
      </c>
      <c r="B13" s="16">
        <f ca="1">IFERROR(__xludf.DUMMYFUNCTION("""COMPUTED_VALUE"""),12)</f>
        <v>12</v>
      </c>
      <c r="C13" s="3" t="str">
        <f ca="1">IFERROR(__xludf.DUMMYFUNCTION("""COMPUTED_VALUE"""),"Grass")</f>
        <v>Grass</v>
      </c>
      <c r="D13" s="3" t="str">
        <f ca="1">IFERROR(__xludf.DUMMYFUNCTION("""COMPUTED_VALUE"""),"Fighting")</f>
        <v>Fighting</v>
      </c>
      <c r="E13" s="17">
        <f ca="1">IFERROR(__xludf.DUMMYFUNCTION("""COMPUTED_VALUE"""),88)</f>
        <v>88</v>
      </c>
      <c r="F13" s="17">
        <f ca="1">IFERROR(__xludf.DUMMYFUNCTION("""COMPUTED_VALUE"""),0)</f>
        <v>0</v>
      </c>
      <c r="G13" s="18">
        <f ca="1">IFERROR(__xludf.DUMMYFUNCTION("""COMPUTED_VALUE"""),107)</f>
        <v>107</v>
      </c>
      <c r="H13" s="18">
        <f ca="1">IFERROR(__xludf.DUMMYFUNCTION("""COMPUTED_VALUE"""),0)</f>
        <v>0</v>
      </c>
      <c r="I13" s="19">
        <f ca="1">IFERROR(__xludf.DUMMYFUNCTION("""COMPUTED_VALUE"""),122)</f>
        <v>122</v>
      </c>
      <c r="J13" s="19">
        <f ca="1">IFERROR(__xludf.DUMMYFUNCTION("""COMPUTED_VALUE"""),0)</f>
        <v>0</v>
      </c>
      <c r="K13" s="20">
        <f ca="1">IFERROR(__xludf.DUMMYFUNCTION("""COMPUTED_VALUE"""),74)</f>
        <v>74</v>
      </c>
      <c r="L13" s="20">
        <f ca="1">IFERROR(__xludf.DUMMYFUNCTION("""COMPUTED_VALUE"""),0)</f>
        <v>0</v>
      </c>
      <c r="M13" s="21">
        <f ca="1">IFERROR(__xludf.DUMMYFUNCTION("""COMPUTED_VALUE"""),75)</f>
        <v>75</v>
      </c>
      <c r="N13" s="21">
        <f ca="1">IFERROR(__xludf.DUMMYFUNCTION("""COMPUTED_VALUE"""),0)</f>
        <v>0</v>
      </c>
      <c r="O13" s="22">
        <f ca="1">IFERROR(__xludf.DUMMYFUNCTION("""COMPUTED_VALUE"""),64)</f>
        <v>64</v>
      </c>
      <c r="P13" s="22">
        <f ca="1">IFERROR(__xludf.DUMMYFUNCTION("""COMPUTED_VALUE"""),0)</f>
        <v>0</v>
      </c>
      <c r="Q13" s="23">
        <f ca="1">IFERROR(__xludf.DUMMYFUNCTION("""COMPUTED_VALUE"""),530)</f>
        <v>530</v>
      </c>
      <c r="R13" s="23">
        <f ca="1">IFERROR(__xludf.DUMMYFUNCTION("""COMPUTED_VALUE"""),0)</f>
        <v>0</v>
      </c>
      <c r="S13" s="24" t="str">
        <f ca="1">IFERROR(__xludf.DUMMYFUNCTION("""COMPUTED_VALUE"""),"Overgrow")</f>
        <v>Overgrow</v>
      </c>
      <c r="T13" s="24" t="str">
        <f ca="1">IFERROR(__xludf.DUMMYFUNCTION("""COMPUTED_VALUE"""),"Long Reach")</f>
        <v>Long Reach</v>
      </c>
      <c r="U13" s="24" t="str">
        <f ca="1">IFERROR(__xludf.DUMMYFUNCTION("""COMPUTED_VALUE"""),"Spiked Shell")</f>
        <v>Spiked Shell</v>
      </c>
      <c r="V13" s="25" t="str">
        <f ca="1">IFERROR(__xludf.DUMMYFUNCTION("""COMPUTED_VALUE"""),"Lv. 36")</f>
        <v>Lv. 36</v>
      </c>
      <c r="W13" s="25"/>
      <c r="X13" s="25"/>
      <c r="Y13" s="25" t="str">
        <f ca="1">IFERROR(__xludf.DUMMYFUNCTION("""COMPUTED_VALUE"""),"Quilladin (evolve)")</f>
        <v>Quilladin (evolve)</v>
      </c>
    </row>
    <row r="14" spans="1:25" x14ac:dyDescent="0.25">
      <c r="A14" s="15" t="str">
        <f ca="1">IFERROR(__xludf.DUMMYFUNCTION("""COMPUTED_VALUE"""),"Fennekin")</f>
        <v>Fennekin</v>
      </c>
      <c r="B14" s="16">
        <f ca="1">IFERROR(__xludf.DUMMYFUNCTION("""COMPUTED_VALUE"""),13)</f>
        <v>13</v>
      </c>
      <c r="C14" s="3" t="str">
        <f ca="1">IFERROR(__xludf.DUMMYFUNCTION("""COMPUTED_VALUE"""),"Fire")</f>
        <v>Fire</v>
      </c>
      <c r="D14" s="3"/>
      <c r="E14" s="17">
        <f ca="1">IFERROR(__xludf.DUMMYFUNCTION("""COMPUTED_VALUE"""),40)</f>
        <v>40</v>
      </c>
      <c r="F14" s="17">
        <f ca="1">IFERROR(__xludf.DUMMYFUNCTION("""COMPUTED_VALUE"""),0)</f>
        <v>0</v>
      </c>
      <c r="G14" s="18">
        <f ca="1">IFERROR(__xludf.DUMMYFUNCTION("""COMPUTED_VALUE"""),45)</f>
        <v>45</v>
      </c>
      <c r="H14" s="18">
        <f ca="1">IFERROR(__xludf.DUMMYFUNCTION("""COMPUTED_VALUE"""),0)</f>
        <v>0</v>
      </c>
      <c r="I14" s="19">
        <f ca="1">IFERROR(__xludf.DUMMYFUNCTION("""COMPUTED_VALUE"""),40)</f>
        <v>40</v>
      </c>
      <c r="J14" s="19">
        <f ca="1">IFERROR(__xludf.DUMMYFUNCTION("""COMPUTED_VALUE"""),0)</f>
        <v>0</v>
      </c>
      <c r="K14" s="20">
        <f ca="1">IFERROR(__xludf.DUMMYFUNCTION("""COMPUTED_VALUE"""),62)</f>
        <v>62</v>
      </c>
      <c r="L14" s="20">
        <f ca="1">IFERROR(__xludf.DUMMYFUNCTION("""COMPUTED_VALUE"""),0)</f>
        <v>0</v>
      </c>
      <c r="M14" s="21">
        <f ca="1">IFERROR(__xludf.DUMMYFUNCTION("""COMPUTED_VALUE"""),60)</f>
        <v>60</v>
      </c>
      <c r="N14" s="21">
        <f ca="1">IFERROR(__xludf.DUMMYFUNCTION("""COMPUTED_VALUE"""),0)</f>
        <v>0</v>
      </c>
      <c r="O14" s="22">
        <f ca="1">IFERROR(__xludf.DUMMYFUNCTION("""COMPUTED_VALUE"""),60)</f>
        <v>60</v>
      </c>
      <c r="P14" s="22">
        <f ca="1">IFERROR(__xludf.DUMMYFUNCTION("""COMPUTED_VALUE"""),0)</f>
        <v>0</v>
      </c>
      <c r="Q14" s="23">
        <f ca="1">IFERROR(__xludf.DUMMYFUNCTION("""COMPUTED_VALUE"""),307)</f>
        <v>307</v>
      </c>
      <c r="R14" s="23">
        <f ca="1">IFERROR(__xludf.DUMMYFUNCTION("""COMPUTED_VALUE"""),0)</f>
        <v>0</v>
      </c>
      <c r="S14" s="24" t="str">
        <f ca="1">IFERROR(__xludf.DUMMYFUNCTION("""COMPUTED_VALUE"""),"Blaze")</f>
        <v>Blaze</v>
      </c>
      <c r="T14" s="24" t="str">
        <f ca="1">IFERROR(__xludf.DUMMYFUNCTION("""COMPUTED_VALUE"""),"Magician")</f>
        <v>Magician</v>
      </c>
      <c r="U14" s="24" t="str">
        <f ca="1">IFERROR(__xludf.DUMMYFUNCTION("""COMPUTED_VALUE"""),"Tangling Hair")</f>
        <v>Tangling Hair</v>
      </c>
      <c r="V14" s="25"/>
      <c r="W14" s="25"/>
      <c r="X14" s="25"/>
      <c r="Y14" s="25" t="str">
        <f ca="1">IFERROR(__xludf.DUMMYFUNCTION("""COMPUTED_VALUE"""),"Starter, 135 Unique Species (event) Sea of Asteri (wild)")</f>
        <v>Starter, 135 Unique Species (event) Sea of Asteri (wild)</v>
      </c>
    </row>
    <row r="15" spans="1:25" x14ac:dyDescent="0.25">
      <c r="A15" s="15" t="str">
        <f ca="1">IFERROR(__xludf.DUMMYFUNCTION("""COMPUTED_VALUE"""),"Braixen")</f>
        <v>Braixen</v>
      </c>
      <c r="B15" s="16">
        <f ca="1">IFERROR(__xludf.DUMMYFUNCTION("""COMPUTED_VALUE"""),14)</f>
        <v>14</v>
      </c>
      <c r="C15" s="3" t="str">
        <f ca="1">IFERROR(__xludf.DUMMYFUNCTION("""COMPUTED_VALUE"""),"Fire")</f>
        <v>Fire</v>
      </c>
      <c r="D15" s="3"/>
      <c r="E15" s="17">
        <f ca="1">IFERROR(__xludf.DUMMYFUNCTION("""COMPUTED_VALUE"""),59)</f>
        <v>59</v>
      </c>
      <c r="F15" s="17">
        <f ca="1">IFERROR(__xludf.DUMMYFUNCTION("""COMPUTED_VALUE"""),0)</f>
        <v>0</v>
      </c>
      <c r="G15" s="18">
        <f ca="1">IFERROR(__xludf.DUMMYFUNCTION("""COMPUTED_VALUE"""),59)</f>
        <v>59</v>
      </c>
      <c r="H15" s="18">
        <f ca="1">IFERROR(__xludf.DUMMYFUNCTION("""COMPUTED_VALUE"""),0)</f>
        <v>0</v>
      </c>
      <c r="I15" s="19">
        <f ca="1">IFERROR(__xludf.DUMMYFUNCTION("""COMPUTED_VALUE"""),58)</f>
        <v>58</v>
      </c>
      <c r="J15" s="19">
        <f ca="1">IFERROR(__xludf.DUMMYFUNCTION("""COMPUTED_VALUE"""),0)</f>
        <v>0</v>
      </c>
      <c r="K15" s="20">
        <f ca="1">IFERROR(__xludf.DUMMYFUNCTION("""COMPUTED_VALUE"""),90)</f>
        <v>90</v>
      </c>
      <c r="L15" s="20">
        <f ca="1">IFERROR(__xludf.DUMMYFUNCTION("""COMPUTED_VALUE"""),0)</f>
        <v>0</v>
      </c>
      <c r="M15" s="21">
        <f ca="1">IFERROR(__xludf.DUMMYFUNCTION("""COMPUTED_VALUE"""),70)</f>
        <v>70</v>
      </c>
      <c r="N15" s="21">
        <f ca="1">IFERROR(__xludf.DUMMYFUNCTION("""COMPUTED_VALUE"""),0)</f>
        <v>0</v>
      </c>
      <c r="O15" s="22">
        <f ca="1">IFERROR(__xludf.DUMMYFUNCTION("""COMPUTED_VALUE"""),73)</f>
        <v>73</v>
      </c>
      <c r="P15" s="22">
        <f ca="1">IFERROR(__xludf.DUMMYFUNCTION("""COMPUTED_VALUE"""),0)</f>
        <v>0</v>
      </c>
      <c r="Q15" s="23">
        <f ca="1">IFERROR(__xludf.DUMMYFUNCTION("""COMPUTED_VALUE"""),409)</f>
        <v>409</v>
      </c>
      <c r="R15" s="23">
        <f ca="1">IFERROR(__xludf.DUMMYFUNCTION("""COMPUTED_VALUE"""),0)</f>
        <v>0</v>
      </c>
      <c r="S15" s="24" t="str">
        <f ca="1">IFERROR(__xludf.DUMMYFUNCTION("""COMPUTED_VALUE"""),"Blaze")</f>
        <v>Blaze</v>
      </c>
      <c r="T15" s="24" t="str">
        <f ca="1">IFERROR(__xludf.DUMMYFUNCTION("""COMPUTED_VALUE"""),"Magician")</f>
        <v>Magician</v>
      </c>
      <c r="U15" s="24" t="str">
        <f ca="1">IFERROR(__xludf.DUMMYFUNCTION("""COMPUTED_VALUE"""),"Tangling Hair")</f>
        <v>Tangling Hair</v>
      </c>
      <c r="V15" s="25" t="str">
        <f ca="1">IFERROR(__xludf.DUMMYFUNCTION("""COMPUTED_VALUE"""),"Lv. 16")</f>
        <v>Lv. 16</v>
      </c>
      <c r="W15" s="25"/>
      <c r="X15" s="25"/>
      <c r="Y15" s="25" t="str">
        <f ca="1">IFERROR(__xludf.DUMMYFUNCTION("""COMPUTED_VALUE"""),"Fennekin (evolve)")</f>
        <v>Fennekin (evolve)</v>
      </c>
    </row>
    <row r="16" spans="1:25" x14ac:dyDescent="0.25">
      <c r="A16" s="15" t="str">
        <f ca="1">IFERROR(__xludf.DUMMYFUNCTION("""COMPUTED_VALUE"""),"Delphox")</f>
        <v>Delphox</v>
      </c>
      <c r="B16" s="16">
        <f ca="1">IFERROR(__xludf.DUMMYFUNCTION("""COMPUTED_VALUE"""),15)</f>
        <v>15</v>
      </c>
      <c r="C16" s="3" t="str">
        <f ca="1">IFERROR(__xludf.DUMMYFUNCTION("""COMPUTED_VALUE"""),"Fire")</f>
        <v>Fire</v>
      </c>
      <c r="D16" s="3" t="str">
        <f ca="1">IFERROR(__xludf.DUMMYFUNCTION("""COMPUTED_VALUE"""),"Psychic")</f>
        <v>Psychic</v>
      </c>
      <c r="E16" s="17">
        <f ca="1">IFERROR(__xludf.DUMMYFUNCTION("""COMPUTED_VALUE"""),85)</f>
        <v>85</v>
      </c>
      <c r="F16" s="17">
        <f ca="1">IFERROR(__xludf.DUMMYFUNCTION("""COMPUTED_VALUE"""),10)</f>
        <v>10</v>
      </c>
      <c r="G16" s="18">
        <f ca="1">IFERROR(__xludf.DUMMYFUNCTION("""COMPUTED_VALUE"""),69)</f>
        <v>69</v>
      </c>
      <c r="H16" s="18">
        <f ca="1">IFERROR(__xludf.DUMMYFUNCTION("""COMPUTED_VALUE"""),0)</f>
        <v>0</v>
      </c>
      <c r="I16" s="19">
        <f ca="1">IFERROR(__xludf.DUMMYFUNCTION("""COMPUTED_VALUE"""),72)</f>
        <v>72</v>
      </c>
      <c r="J16" s="19">
        <f ca="1">IFERROR(__xludf.DUMMYFUNCTION("""COMPUTED_VALUE"""),0)</f>
        <v>0</v>
      </c>
      <c r="K16" s="20">
        <f ca="1">IFERROR(__xludf.DUMMYFUNCTION("""COMPUTED_VALUE"""),114)</f>
        <v>114</v>
      </c>
      <c r="L16" s="20">
        <f ca="1">IFERROR(__xludf.DUMMYFUNCTION("""COMPUTED_VALUE"""),0)</f>
        <v>0</v>
      </c>
      <c r="M16" s="21">
        <f ca="1">IFERROR(__xludf.DUMMYFUNCTION("""COMPUTED_VALUE"""),100)</f>
        <v>100</v>
      </c>
      <c r="N16" s="21">
        <f ca="1">IFERROR(__xludf.DUMMYFUNCTION("""COMPUTED_VALUE"""),0)</f>
        <v>0</v>
      </c>
      <c r="O16" s="22">
        <f ca="1">IFERROR(__xludf.DUMMYFUNCTION("""COMPUTED_VALUE"""),94)</f>
        <v>94</v>
      </c>
      <c r="P16" s="22">
        <f ca="1">IFERROR(__xludf.DUMMYFUNCTION("""COMPUTED_VALUE"""),-10)</f>
        <v>-10</v>
      </c>
      <c r="Q16" s="23">
        <f ca="1">IFERROR(__xludf.DUMMYFUNCTION("""COMPUTED_VALUE"""),534)</f>
        <v>534</v>
      </c>
      <c r="R16" s="23">
        <f ca="1">IFERROR(__xludf.DUMMYFUNCTION("""COMPUTED_VALUE"""),0)</f>
        <v>0</v>
      </c>
      <c r="S16" s="24" t="str">
        <f ca="1">IFERROR(__xludf.DUMMYFUNCTION("""COMPUTED_VALUE"""),"Blaze")</f>
        <v>Blaze</v>
      </c>
      <c r="T16" s="24" t="str">
        <f ca="1">IFERROR(__xludf.DUMMYFUNCTION("""COMPUTED_VALUE"""),"Magician")</f>
        <v>Magician</v>
      </c>
      <c r="U16" s="24" t="str">
        <f ca="1">IFERROR(__xludf.DUMMYFUNCTION("""COMPUTED_VALUE"""),"Tangling Hair")</f>
        <v>Tangling Hair</v>
      </c>
      <c r="V16" s="25" t="str">
        <f ca="1">IFERROR(__xludf.DUMMYFUNCTION("""COMPUTED_VALUE"""),"Lv. 36")</f>
        <v>Lv. 36</v>
      </c>
      <c r="W16" s="25"/>
      <c r="X16" s="25"/>
      <c r="Y16" s="25" t="str">
        <f ca="1">IFERROR(__xludf.DUMMYFUNCTION("""COMPUTED_VALUE"""),"Braixen (evolve)")</f>
        <v>Braixen (evolve)</v>
      </c>
    </row>
    <row r="17" spans="1:25" x14ac:dyDescent="0.25">
      <c r="A17" s="15" t="str">
        <f ca="1">IFERROR(__xludf.DUMMYFUNCTION("""COMPUTED_VALUE"""),"Froakie")</f>
        <v>Froakie</v>
      </c>
      <c r="B17" s="16">
        <f ca="1">IFERROR(__xludf.DUMMYFUNCTION("""COMPUTED_VALUE"""),16)</f>
        <v>16</v>
      </c>
      <c r="C17" s="3" t="str">
        <f ca="1">IFERROR(__xludf.DUMMYFUNCTION("""COMPUTED_VALUE"""),"Water")</f>
        <v>Water</v>
      </c>
      <c r="D17" s="3"/>
      <c r="E17" s="17">
        <f ca="1">IFERROR(__xludf.DUMMYFUNCTION("""COMPUTED_VALUE"""),41)</f>
        <v>41</v>
      </c>
      <c r="F17" s="17">
        <f ca="1">IFERROR(__xludf.DUMMYFUNCTION("""COMPUTED_VALUE"""),0)</f>
        <v>0</v>
      </c>
      <c r="G17" s="18">
        <f ca="1">IFERROR(__xludf.DUMMYFUNCTION("""COMPUTED_VALUE"""),56)</f>
        <v>56</v>
      </c>
      <c r="H17" s="18">
        <f ca="1">IFERROR(__xludf.DUMMYFUNCTION("""COMPUTED_VALUE"""),0)</f>
        <v>0</v>
      </c>
      <c r="I17" s="19">
        <f ca="1">IFERROR(__xludf.DUMMYFUNCTION("""COMPUTED_VALUE"""),40)</f>
        <v>40</v>
      </c>
      <c r="J17" s="19">
        <f ca="1">IFERROR(__xludf.DUMMYFUNCTION("""COMPUTED_VALUE"""),0)</f>
        <v>0</v>
      </c>
      <c r="K17" s="20">
        <f ca="1">IFERROR(__xludf.DUMMYFUNCTION("""COMPUTED_VALUE"""),62)</f>
        <v>62</v>
      </c>
      <c r="L17" s="20">
        <f ca="1">IFERROR(__xludf.DUMMYFUNCTION("""COMPUTED_VALUE"""),0)</f>
        <v>0</v>
      </c>
      <c r="M17" s="21">
        <f ca="1">IFERROR(__xludf.DUMMYFUNCTION("""COMPUTED_VALUE"""),44)</f>
        <v>44</v>
      </c>
      <c r="N17" s="21">
        <f ca="1">IFERROR(__xludf.DUMMYFUNCTION("""COMPUTED_VALUE"""),0)</f>
        <v>0</v>
      </c>
      <c r="O17" s="22">
        <f ca="1">IFERROR(__xludf.DUMMYFUNCTION("""COMPUTED_VALUE"""),71)</f>
        <v>71</v>
      </c>
      <c r="P17" s="22">
        <f ca="1">IFERROR(__xludf.DUMMYFUNCTION("""COMPUTED_VALUE"""),0)</f>
        <v>0</v>
      </c>
      <c r="Q17" s="23">
        <f ca="1">IFERROR(__xludf.DUMMYFUNCTION("""COMPUTED_VALUE"""),314)</f>
        <v>314</v>
      </c>
      <c r="R17" s="23">
        <f ca="1">IFERROR(__xludf.DUMMYFUNCTION("""COMPUTED_VALUE"""),0)</f>
        <v>0</v>
      </c>
      <c r="S17" s="24" t="str">
        <f ca="1">IFERROR(__xludf.DUMMYFUNCTION("""COMPUTED_VALUE"""),"Torrent")</f>
        <v>Torrent</v>
      </c>
      <c r="T17" s="24" t="str">
        <f ca="1">IFERROR(__xludf.DUMMYFUNCTION("""COMPUTED_VALUE"""),"Water Bubble")</f>
        <v>Water Bubble</v>
      </c>
      <c r="U17" s="24" t="str">
        <f ca="1">IFERROR(__xludf.DUMMYFUNCTION("""COMPUTED_VALUE"""),"Protean")</f>
        <v>Protean</v>
      </c>
      <c r="V17" s="25"/>
      <c r="W17" s="25"/>
      <c r="X17" s="25"/>
      <c r="Y17" s="25" t="str">
        <f ca="1">IFERROR(__xludf.DUMMYFUNCTION("""COMPUTED_VALUE"""),"Starter, 135 Unique Species (event) Sea of Asteri (wild)")</f>
        <v>Starter, 135 Unique Species (event) Sea of Asteri (wild)</v>
      </c>
    </row>
    <row r="18" spans="1:25" x14ac:dyDescent="0.25">
      <c r="A18" s="15" t="str">
        <f ca="1">IFERROR(__xludf.DUMMYFUNCTION("""COMPUTED_VALUE"""),"Frogadier")</f>
        <v>Frogadier</v>
      </c>
      <c r="B18" s="16">
        <f ca="1">IFERROR(__xludf.DUMMYFUNCTION("""COMPUTED_VALUE"""),17)</f>
        <v>17</v>
      </c>
      <c r="C18" s="3" t="str">
        <f ca="1">IFERROR(__xludf.DUMMYFUNCTION("""COMPUTED_VALUE"""),"Water")</f>
        <v>Water</v>
      </c>
      <c r="D18" s="3"/>
      <c r="E18" s="17">
        <f ca="1">IFERROR(__xludf.DUMMYFUNCTION("""COMPUTED_VALUE"""),54)</f>
        <v>54</v>
      </c>
      <c r="F18" s="17">
        <f ca="1">IFERROR(__xludf.DUMMYFUNCTION("""COMPUTED_VALUE"""),0)</f>
        <v>0</v>
      </c>
      <c r="G18" s="18">
        <f ca="1">IFERROR(__xludf.DUMMYFUNCTION("""COMPUTED_VALUE"""),63)</f>
        <v>63</v>
      </c>
      <c r="H18" s="18">
        <f ca="1">IFERROR(__xludf.DUMMYFUNCTION("""COMPUTED_VALUE"""),0)</f>
        <v>0</v>
      </c>
      <c r="I18" s="19">
        <f ca="1">IFERROR(__xludf.DUMMYFUNCTION("""COMPUTED_VALUE"""),52)</f>
        <v>52</v>
      </c>
      <c r="J18" s="19">
        <f ca="1">IFERROR(__xludf.DUMMYFUNCTION("""COMPUTED_VALUE"""),0)</f>
        <v>0</v>
      </c>
      <c r="K18" s="20">
        <f ca="1">IFERROR(__xludf.DUMMYFUNCTION("""COMPUTED_VALUE"""),83)</f>
        <v>83</v>
      </c>
      <c r="L18" s="20">
        <f ca="1">IFERROR(__xludf.DUMMYFUNCTION("""COMPUTED_VALUE"""),0)</f>
        <v>0</v>
      </c>
      <c r="M18" s="21">
        <f ca="1">IFERROR(__xludf.DUMMYFUNCTION("""COMPUTED_VALUE"""),56)</f>
        <v>56</v>
      </c>
      <c r="N18" s="21">
        <f ca="1">IFERROR(__xludf.DUMMYFUNCTION("""COMPUTED_VALUE"""),0)</f>
        <v>0</v>
      </c>
      <c r="O18" s="22">
        <f ca="1">IFERROR(__xludf.DUMMYFUNCTION("""COMPUTED_VALUE"""),97)</f>
        <v>97</v>
      </c>
      <c r="P18" s="22">
        <f ca="1">IFERROR(__xludf.DUMMYFUNCTION("""COMPUTED_VALUE"""),0)</f>
        <v>0</v>
      </c>
      <c r="Q18" s="23">
        <f ca="1">IFERROR(__xludf.DUMMYFUNCTION("""COMPUTED_VALUE"""),405)</f>
        <v>405</v>
      </c>
      <c r="R18" s="23">
        <f ca="1">IFERROR(__xludf.DUMMYFUNCTION("""COMPUTED_VALUE"""),0)</f>
        <v>0</v>
      </c>
      <c r="S18" s="24" t="str">
        <f ca="1">IFERROR(__xludf.DUMMYFUNCTION("""COMPUTED_VALUE"""),"Torrent")</f>
        <v>Torrent</v>
      </c>
      <c r="T18" s="24" t="str">
        <f ca="1">IFERROR(__xludf.DUMMYFUNCTION("""COMPUTED_VALUE"""),"Water Bubble")</f>
        <v>Water Bubble</v>
      </c>
      <c r="U18" s="24" t="str">
        <f ca="1">IFERROR(__xludf.DUMMYFUNCTION("""COMPUTED_VALUE"""),"Protean")</f>
        <v>Protean</v>
      </c>
      <c r="V18" s="25" t="str">
        <f ca="1">IFERROR(__xludf.DUMMYFUNCTION("""COMPUTED_VALUE"""),"Lv. 16")</f>
        <v>Lv. 16</v>
      </c>
      <c r="W18" s="25"/>
      <c r="X18" s="25"/>
      <c r="Y18" s="25" t="str">
        <f ca="1">IFERROR(__xludf.DUMMYFUNCTION("""COMPUTED_VALUE"""),"Froakie (evolve)")</f>
        <v>Froakie (evolve)</v>
      </c>
    </row>
    <row r="19" spans="1:25" x14ac:dyDescent="0.25">
      <c r="A19" s="15" t="str">
        <f ca="1">IFERROR(__xludf.DUMMYFUNCTION("""COMPUTED_VALUE"""),"Greninja")</f>
        <v>Greninja</v>
      </c>
      <c r="B19" s="16">
        <f ca="1">IFERROR(__xludf.DUMMYFUNCTION("""COMPUTED_VALUE"""),18)</f>
        <v>18</v>
      </c>
      <c r="C19" s="3" t="str">
        <f ca="1">IFERROR(__xludf.DUMMYFUNCTION("""COMPUTED_VALUE"""),"Water")</f>
        <v>Water</v>
      </c>
      <c r="D19" s="3" t="str">
        <f ca="1">IFERROR(__xludf.DUMMYFUNCTION("""COMPUTED_VALUE"""),"Dark")</f>
        <v>Dark</v>
      </c>
      <c r="E19" s="17">
        <f ca="1">IFERROR(__xludf.DUMMYFUNCTION("""COMPUTED_VALUE"""),72)</f>
        <v>72</v>
      </c>
      <c r="F19" s="17">
        <f ca="1">IFERROR(__xludf.DUMMYFUNCTION("""COMPUTED_VALUE"""),0)</f>
        <v>0</v>
      </c>
      <c r="G19" s="18">
        <f ca="1">IFERROR(__xludf.DUMMYFUNCTION("""COMPUTED_VALUE"""),95)</f>
        <v>95</v>
      </c>
      <c r="H19" s="18">
        <f ca="1">IFERROR(__xludf.DUMMYFUNCTION("""COMPUTED_VALUE"""),0)</f>
        <v>0</v>
      </c>
      <c r="I19" s="19">
        <f ca="1">IFERROR(__xludf.DUMMYFUNCTION("""COMPUTED_VALUE"""),67)</f>
        <v>67</v>
      </c>
      <c r="J19" s="19">
        <f ca="1">IFERROR(__xludf.DUMMYFUNCTION("""COMPUTED_VALUE"""),0)</f>
        <v>0</v>
      </c>
      <c r="K19" s="20">
        <f ca="1">IFERROR(__xludf.DUMMYFUNCTION("""COMPUTED_VALUE"""),103)</f>
        <v>103</v>
      </c>
      <c r="L19" s="20">
        <f ca="1">IFERROR(__xludf.DUMMYFUNCTION("""COMPUTED_VALUE"""),0)</f>
        <v>0</v>
      </c>
      <c r="M19" s="21">
        <f ca="1">IFERROR(__xludf.DUMMYFUNCTION("""COMPUTED_VALUE"""),71)</f>
        <v>71</v>
      </c>
      <c r="N19" s="21">
        <f ca="1">IFERROR(__xludf.DUMMYFUNCTION("""COMPUTED_VALUE"""),0)</f>
        <v>0</v>
      </c>
      <c r="O19" s="22">
        <f ca="1">IFERROR(__xludf.DUMMYFUNCTION("""COMPUTED_VALUE"""),122)</f>
        <v>122</v>
      </c>
      <c r="P19" s="22">
        <f ca="1">IFERROR(__xludf.DUMMYFUNCTION("""COMPUTED_VALUE"""),0)</f>
        <v>0</v>
      </c>
      <c r="Q19" s="23">
        <f ca="1">IFERROR(__xludf.DUMMYFUNCTION("""COMPUTED_VALUE"""),530)</f>
        <v>530</v>
      </c>
      <c r="R19" s="23">
        <f ca="1">IFERROR(__xludf.DUMMYFUNCTION("""COMPUTED_VALUE"""),0)</f>
        <v>0</v>
      </c>
      <c r="S19" s="24" t="str">
        <f ca="1">IFERROR(__xludf.DUMMYFUNCTION("""COMPUTED_VALUE"""),"Torrent")</f>
        <v>Torrent</v>
      </c>
      <c r="T19" s="24" t="str">
        <f ca="1">IFERROR(__xludf.DUMMYFUNCTION("""COMPUTED_VALUE"""),"Water Bubble")</f>
        <v>Water Bubble</v>
      </c>
      <c r="U19" s="24" t="str">
        <f ca="1">IFERROR(__xludf.DUMMYFUNCTION("""COMPUTED_VALUE"""),"Protean")</f>
        <v>Protean</v>
      </c>
      <c r="V19" s="25" t="str">
        <f ca="1">IFERROR(__xludf.DUMMYFUNCTION("""COMPUTED_VALUE"""),"Lv. 36")</f>
        <v>Lv. 36</v>
      </c>
      <c r="W19" s="25"/>
      <c r="X19" s="25"/>
      <c r="Y19" s="25" t="str">
        <f ca="1">IFERROR(__xludf.DUMMYFUNCTION("""COMPUTED_VALUE"""),"Frogadier (evolve)")</f>
        <v>Frogadier (evolve)</v>
      </c>
    </row>
    <row r="20" spans="1:25" x14ac:dyDescent="0.25">
      <c r="A20" s="15" t="str">
        <f ca="1">IFERROR(__xludf.DUMMYFUNCTION("""COMPUTED_VALUE"""),"Sprigatito")</f>
        <v>Sprigatito</v>
      </c>
      <c r="B20" s="16">
        <f ca="1">IFERROR(__xludf.DUMMYFUNCTION("""COMPUTED_VALUE"""),19)</f>
        <v>19</v>
      </c>
      <c r="C20" s="3" t="str">
        <f ca="1">IFERROR(__xludf.DUMMYFUNCTION("""COMPUTED_VALUE"""),"Grass")</f>
        <v>Grass</v>
      </c>
      <c r="D20" s="3"/>
      <c r="E20" s="17">
        <f ca="1">IFERROR(__xludf.DUMMYFUNCTION("""COMPUTED_VALUE"""),40)</f>
        <v>40</v>
      </c>
      <c r="F20" s="17">
        <f ca="1">IFERROR(__xludf.DUMMYFUNCTION("""COMPUTED_VALUE"""),0)</f>
        <v>0</v>
      </c>
      <c r="G20" s="18">
        <f ca="1">IFERROR(__xludf.DUMMYFUNCTION("""COMPUTED_VALUE"""),61)</f>
        <v>61</v>
      </c>
      <c r="H20" s="18">
        <f ca="1">IFERROR(__xludf.DUMMYFUNCTION("""COMPUTED_VALUE"""),0)</f>
        <v>0</v>
      </c>
      <c r="I20" s="19">
        <f ca="1">IFERROR(__xludf.DUMMYFUNCTION("""COMPUTED_VALUE"""),54)</f>
        <v>54</v>
      </c>
      <c r="J20" s="19">
        <f ca="1">IFERROR(__xludf.DUMMYFUNCTION("""COMPUTED_VALUE"""),0)</f>
        <v>0</v>
      </c>
      <c r="K20" s="20">
        <f ca="1">IFERROR(__xludf.DUMMYFUNCTION("""COMPUTED_VALUE"""),45)</f>
        <v>45</v>
      </c>
      <c r="L20" s="20">
        <f ca="1">IFERROR(__xludf.DUMMYFUNCTION("""COMPUTED_VALUE"""),0)</f>
        <v>0</v>
      </c>
      <c r="M20" s="21">
        <f ca="1">IFERROR(__xludf.DUMMYFUNCTION("""COMPUTED_VALUE"""),45)</f>
        <v>45</v>
      </c>
      <c r="N20" s="21">
        <f ca="1">IFERROR(__xludf.DUMMYFUNCTION("""COMPUTED_VALUE"""),0)</f>
        <v>0</v>
      </c>
      <c r="O20" s="22">
        <f ca="1">IFERROR(__xludf.DUMMYFUNCTION("""COMPUTED_VALUE"""),65)</f>
        <v>65</v>
      </c>
      <c r="P20" s="22">
        <f ca="1">IFERROR(__xludf.DUMMYFUNCTION("""COMPUTED_VALUE"""),0)</f>
        <v>0</v>
      </c>
      <c r="Q20" s="23">
        <f ca="1">IFERROR(__xludf.DUMMYFUNCTION("""COMPUTED_VALUE"""),310)</f>
        <v>310</v>
      </c>
      <c r="R20" s="23">
        <f ca="1">IFERROR(__xludf.DUMMYFUNCTION("""COMPUTED_VALUE"""),0)</f>
        <v>0</v>
      </c>
      <c r="S20" s="24" t="str">
        <f ca="1">IFERROR(__xludf.DUMMYFUNCTION("""COMPUTED_VALUE"""),"Overgrow")</f>
        <v>Overgrow</v>
      </c>
      <c r="T20" s="24" t="str">
        <f ca="1">IFERROR(__xludf.DUMMYFUNCTION("""COMPUTED_VALUE"""),"Unnerve")</f>
        <v>Unnerve</v>
      </c>
      <c r="U20" s="24" t="str">
        <f ca="1">IFERROR(__xludf.DUMMYFUNCTION("""COMPUTED_VALUE"""),"Protean")</f>
        <v>Protean</v>
      </c>
      <c r="V20" s="25"/>
      <c r="W20" s="25"/>
      <c r="X20" s="25"/>
      <c r="Y20" s="25" t="str">
        <f ca="1">IFERROR(__xludf.DUMMYFUNCTION("""COMPUTED_VALUE"""),"Starter, 170 Unique Species (event) Sea of Vulcai (wild)")</f>
        <v>Starter, 170 Unique Species (event) Sea of Vulcai (wild)</v>
      </c>
    </row>
    <row r="21" spans="1:25" x14ac:dyDescent="0.25">
      <c r="A21" s="15" t="str">
        <f ca="1">IFERROR(__xludf.DUMMYFUNCTION("""COMPUTED_VALUE"""),"Floragato")</f>
        <v>Floragato</v>
      </c>
      <c r="B21" s="16">
        <f ca="1">IFERROR(__xludf.DUMMYFUNCTION("""COMPUTED_VALUE"""),20)</f>
        <v>20</v>
      </c>
      <c r="C21" s="3" t="str">
        <f ca="1">IFERROR(__xludf.DUMMYFUNCTION("""COMPUTED_VALUE"""),"Grass")</f>
        <v>Grass</v>
      </c>
      <c r="D21" s="3"/>
      <c r="E21" s="17">
        <f ca="1">IFERROR(__xludf.DUMMYFUNCTION("""COMPUTED_VALUE"""),61)</f>
        <v>61</v>
      </c>
      <c r="F21" s="17">
        <f ca="1">IFERROR(__xludf.DUMMYFUNCTION("""COMPUTED_VALUE"""),0)</f>
        <v>0</v>
      </c>
      <c r="G21" s="18">
        <f ca="1">IFERROR(__xludf.DUMMYFUNCTION("""COMPUTED_VALUE"""),80)</f>
        <v>80</v>
      </c>
      <c r="H21" s="18">
        <f ca="1">IFERROR(__xludf.DUMMYFUNCTION("""COMPUTED_VALUE"""),0)</f>
        <v>0</v>
      </c>
      <c r="I21" s="19">
        <f ca="1">IFERROR(__xludf.DUMMYFUNCTION("""COMPUTED_VALUE"""),63)</f>
        <v>63</v>
      </c>
      <c r="J21" s="19">
        <f ca="1">IFERROR(__xludf.DUMMYFUNCTION("""COMPUTED_VALUE"""),0)</f>
        <v>0</v>
      </c>
      <c r="K21" s="20">
        <f ca="1">IFERROR(__xludf.DUMMYFUNCTION("""COMPUTED_VALUE"""),60)</f>
        <v>60</v>
      </c>
      <c r="L21" s="20">
        <f ca="1">IFERROR(__xludf.DUMMYFUNCTION("""COMPUTED_VALUE"""),0)</f>
        <v>0</v>
      </c>
      <c r="M21" s="21">
        <f ca="1">IFERROR(__xludf.DUMMYFUNCTION("""COMPUTED_VALUE"""),63)</f>
        <v>63</v>
      </c>
      <c r="N21" s="21">
        <f ca="1">IFERROR(__xludf.DUMMYFUNCTION("""COMPUTED_VALUE"""),0)</f>
        <v>0</v>
      </c>
      <c r="O21" s="22">
        <f ca="1">IFERROR(__xludf.DUMMYFUNCTION("""COMPUTED_VALUE"""),83)</f>
        <v>83</v>
      </c>
      <c r="P21" s="22">
        <f ca="1">IFERROR(__xludf.DUMMYFUNCTION("""COMPUTED_VALUE"""),0)</f>
        <v>0</v>
      </c>
      <c r="Q21" s="23">
        <f ca="1">IFERROR(__xludf.DUMMYFUNCTION("""COMPUTED_VALUE"""),410)</f>
        <v>410</v>
      </c>
      <c r="R21" s="23">
        <f ca="1">IFERROR(__xludf.DUMMYFUNCTION("""COMPUTED_VALUE"""),0)</f>
        <v>0</v>
      </c>
      <c r="S21" s="24" t="str">
        <f ca="1">IFERROR(__xludf.DUMMYFUNCTION("""COMPUTED_VALUE"""),"Overgrow")</f>
        <v>Overgrow</v>
      </c>
      <c r="T21" s="24" t="str">
        <f ca="1">IFERROR(__xludf.DUMMYFUNCTION("""COMPUTED_VALUE"""),"Unnerve")</f>
        <v>Unnerve</v>
      </c>
      <c r="U21" s="24" t="str">
        <f ca="1">IFERROR(__xludf.DUMMYFUNCTION("""COMPUTED_VALUE"""),"Protean")</f>
        <v>Protean</v>
      </c>
      <c r="V21" s="25" t="str">
        <f ca="1">IFERROR(__xludf.DUMMYFUNCTION("""COMPUTED_VALUE"""),"Lv. 16")</f>
        <v>Lv. 16</v>
      </c>
      <c r="W21" s="25"/>
      <c r="X21" s="25"/>
      <c r="Y21" s="25" t="str">
        <f ca="1">IFERROR(__xludf.DUMMYFUNCTION("""COMPUTED_VALUE"""),"Sprigatito (evolve)")</f>
        <v>Sprigatito (evolve)</v>
      </c>
    </row>
    <row r="22" spans="1:25" x14ac:dyDescent="0.25">
      <c r="A22" s="15" t="str">
        <f ca="1">IFERROR(__xludf.DUMMYFUNCTION("""COMPUTED_VALUE"""),"Meowscarada")</f>
        <v>Meowscarada</v>
      </c>
      <c r="B22" s="16">
        <f ca="1">IFERROR(__xludf.DUMMYFUNCTION("""COMPUTED_VALUE"""),21)</f>
        <v>21</v>
      </c>
      <c r="C22" s="3" t="str">
        <f ca="1">IFERROR(__xludf.DUMMYFUNCTION("""COMPUTED_VALUE"""),"Grass")</f>
        <v>Grass</v>
      </c>
      <c r="D22" s="3" t="str">
        <f ca="1">IFERROR(__xludf.DUMMYFUNCTION("""COMPUTED_VALUE"""),"Dark")</f>
        <v>Dark</v>
      </c>
      <c r="E22" s="17">
        <f ca="1">IFERROR(__xludf.DUMMYFUNCTION("""COMPUTED_VALUE"""),76)</f>
        <v>76</v>
      </c>
      <c r="F22" s="17">
        <f ca="1">IFERROR(__xludf.DUMMYFUNCTION("""COMPUTED_VALUE"""),0)</f>
        <v>0</v>
      </c>
      <c r="G22" s="18">
        <f ca="1">IFERROR(__xludf.DUMMYFUNCTION("""COMPUTED_VALUE"""),110)</f>
        <v>110</v>
      </c>
      <c r="H22" s="18">
        <f ca="1">IFERROR(__xludf.DUMMYFUNCTION("""COMPUTED_VALUE"""),0)</f>
        <v>0</v>
      </c>
      <c r="I22" s="19">
        <f ca="1">IFERROR(__xludf.DUMMYFUNCTION("""COMPUTED_VALUE"""),70)</f>
        <v>70</v>
      </c>
      <c r="J22" s="19">
        <f ca="1">IFERROR(__xludf.DUMMYFUNCTION("""COMPUTED_VALUE"""),0)</f>
        <v>0</v>
      </c>
      <c r="K22" s="20">
        <f ca="1">IFERROR(__xludf.DUMMYFUNCTION("""COMPUTED_VALUE"""),81)</f>
        <v>81</v>
      </c>
      <c r="L22" s="20">
        <f ca="1">IFERROR(__xludf.DUMMYFUNCTION("""COMPUTED_VALUE"""),0)</f>
        <v>0</v>
      </c>
      <c r="M22" s="21">
        <f ca="1">IFERROR(__xludf.DUMMYFUNCTION("""COMPUTED_VALUE"""),70)</f>
        <v>70</v>
      </c>
      <c r="N22" s="21">
        <f ca="1">IFERROR(__xludf.DUMMYFUNCTION("""COMPUTED_VALUE"""),0)</f>
        <v>0</v>
      </c>
      <c r="O22" s="22">
        <f ca="1">IFERROR(__xludf.DUMMYFUNCTION("""COMPUTED_VALUE"""),123)</f>
        <v>123</v>
      </c>
      <c r="P22" s="22">
        <f ca="1">IFERROR(__xludf.DUMMYFUNCTION("""COMPUTED_VALUE"""),0)</f>
        <v>0</v>
      </c>
      <c r="Q22" s="23">
        <f ca="1">IFERROR(__xludf.DUMMYFUNCTION("""COMPUTED_VALUE"""),530)</f>
        <v>530</v>
      </c>
      <c r="R22" s="23">
        <f ca="1">IFERROR(__xludf.DUMMYFUNCTION("""COMPUTED_VALUE"""),0)</f>
        <v>0</v>
      </c>
      <c r="S22" s="24" t="str">
        <f ca="1">IFERROR(__xludf.DUMMYFUNCTION("""COMPUTED_VALUE"""),"Overgrow")</f>
        <v>Overgrow</v>
      </c>
      <c r="T22" s="24" t="str">
        <f ca="1">IFERROR(__xludf.DUMMYFUNCTION("""COMPUTED_VALUE"""),"Unnerve")</f>
        <v>Unnerve</v>
      </c>
      <c r="U22" s="24" t="str">
        <f ca="1">IFERROR(__xludf.DUMMYFUNCTION("""COMPUTED_VALUE"""),"Protean")</f>
        <v>Protean</v>
      </c>
      <c r="V22" s="25" t="str">
        <f ca="1">IFERROR(__xludf.DUMMYFUNCTION("""COMPUTED_VALUE"""),"Lv. 36")</f>
        <v>Lv. 36</v>
      </c>
      <c r="W22" s="25"/>
      <c r="X22" s="25"/>
      <c r="Y22" s="25" t="str">
        <f ca="1">IFERROR(__xludf.DUMMYFUNCTION("""COMPUTED_VALUE"""),"Floragato (evolve)")</f>
        <v>Floragato (evolve)</v>
      </c>
    </row>
    <row r="23" spans="1:25" x14ac:dyDescent="0.25">
      <c r="A23" s="15" t="str">
        <f ca="1">IFERROR(__xludf.DUMMYFUNCTION("""COMPUTED_VALUE"""),"Fuecoco")</f>
        <v>Fuecoco</v>
      </c>
      <c r="B23" s="16">
        <f ca="1">IFERROR(__xludf.DUMMYFUNCTION("""COMPUTED_VALUE"""),22)</f>
        <v>22</v>
      </c>
      <c r="C23" s="3" t="str">
        <f ca="1">IFERROR(__xludf.DUMMYFUNCTION("""COMPUTED_VALUE"""),"Fire")</f>
        <v>Fire</v>
      </c>
      <c r="D23" s="3"/>
      <c r="E23" s="17">
        <f ca="1">IFERROR(__xludf.DUMMYFUNCTION("""COMPUTED_VALUE"""),67)</f>
        <v>67</v>
      </c>
      <c r="F23" s="17">
        <f ca="1">IFERROR(__xludf.DUMMYFUNCTION("""COMPUTED_VALUE"""),0)</f>
        <v>0</v>
      </c>
      <c r="G23" s="18">
        <f ca="1">IFERROR(__xludf.DUMMYFUNCTION("""COMPUTED_VALUE"""),45)</f>
        <v>45</v>
      </c>
      <c r="H23" s="18">
        <f ca="1">IFERROR(__xludf.DUMMYFUNCTION("""COMPUTED_VALUE"""),0)</f>
        <v>0</v>
      </c>
      <c r="I23" s="19">
        <f ca="1">IFERROR(__xludf.DUMMYFUNCTION("""COMPUTED_VALUE"""),59)</f>
        <v>59</v>
      </c>
      <c r="J23" s="19">
        <f ca="1">IFERROR(__xludf.DUMMYFUNCTION("""COMPUTED_VALUE"""),0)</f>
        <v>0</v>
      </c>
      <c r="K23" s="20">
        <f ca="1">IFERROR(__xludf.DUMMYFUNCTION("""COMPUTED_VALUE"""),63)</f>
        <v>63</v>
      </c>
      <c r="L23" s="20">
        <f ca="1">IFERROR(__xludf.DUMMYFUNCTION("""COMPUTED_VALUE"""),0)</f>
        <v>0</v>
      </c>
      <c r="M23" s="21">
        <f ca="1">IFERROR(__xludf.DUMMYFUNCTION("""COMPUTED_VALUE"""),40)</f>
        <v>40</v>
      </c>
      <c r="N23" s="21">
        <f ca="1">IFERROR(__xludf.DUMMYFUNCTION("""COMPUTED_VALUE"""),0)</f>
        <v>0</v>
      </c>
      <c r="O23" s="22">
        <f ca="1">IFERROR(__xludf.DUMMYFUNCTION("""COMPUTED_VALUE"""),36)</f>
        <v>36</v>
      </c>
      <c r="P23" s="22">
        <f ca="1">IFERROR(__xludf.DUMMYFUNCTION("""COMPUTED_VALUE"""),0)</f>
        <v>0</v>
      </c>
      <c r="Q23" s="23">
        <f ca="1">IFERROR(__xludf.DUMMYFUNCTION("""COMPUTED_VALUE"""),310)</f>
        <v>310</v>
      </c>
      <c r="R23" s="23">
        <f ca="1">IFERROR(__xludf.DUMMYFUNCTION("""COMPUTED_VALUE"""),0)</f>
        <v>0</v>
      </c>
      <c r="S23" s="24" t="str">
        <f ca="1">IFERROR(__xludf.DUMMYFUNCTION("""COMPUTED_VALUE"""),"Blaze")</f>
        <v>Blaze</v>
      </c>
      <c r="T23" s="24" t="str">
        <f ca="1">IFERROR(__xludf.DUMMYFUNCTION("""COMPUTED_VALUE"""),"Unaware")</f>
        <v>Unaware</v>
      </c>
      <c r="U23" s="24" t="str">
        <f ca="1">IFERROR(__xludf.DUMMYFUNCTION("""COMPUTED_VALUE"""),"Dry Skin")</f>
        <v>Dry Skin</v>
      </c>
      <c r="V23" s="25"/>
      <c r="W23" s="25"/>
      <c r="X23" s="25"/>
      <c r="Y23" s="25" t="str">
        <f ca="1">IFERROR(__xludf.DUMMYFUNCTION("""COMPUTED_VALUE"""),"Starter, 170 Unique Species (event) Sea of Vulcai (wild)")</f>
        <v>Starter, 170 Unique Species (event) Sea of Vulcai (wild)</v>
      </c>
    </row>
    <row r="24" spans="1:25" x14ac:dyDescent="0.25">
      <c r="A24" s="15" t="str">
        <f ca="1">IFERROR(__xludf.DUMMYFUNCTION("""COMPUTED_VALUE"""),"Crocalor")</f>
        <v>Crocalor</v>
      </c>
      <c r="B24" s="16">
        <f ca="1">IFERROR(__xludf.DUMMYFUNCTION("""COMPUTED_VALUE"""),23)</f>
        <v>23</v>
      </c>
      <c r="C24" s="3" t="str">
        <f ca="1">IFERROR(__xludf.DUMMYFUNCTION("""COMPUTED_VALUE"""),"Fire")</f>
        <v>Fire</v>
      </c>
      <c r="D24" s="3"/>
      <c r="E24" s="17">
        <f ca="1">IFERROR(__xludf.DUMMYFUNCTION("""COMPUTED_VALUE"""),81)</f>
        <v>81</v>
      </c>
      <c r="F24" s="17">
        <f ca="1">IFERROR(__xludf.DUMMYFUNCTION("""COMPUTED_VALUE"""),0)</f>
        <v>0</v>
      </c>
      <c r="G24" s="18">
        <f ca="1">IFERROR(__xludf.DUMMYFUNCTION("""COMPUTED_VALUE"""),55)</f>
        <v>55</v>
      </c>
      <c r="H24" s="18">
        <f ca="1">IFERROR(__xludf.DUMMYFUNCTION("""COMPUTED_VALUE"""),0)</f>
        <v>0</v>
      </c>
      <c r="I24" s="19">
        <f ca="1">IFERROR(__xludf.DUMMYFUNCTION("""COMPUTED_VALUE"""),78)</f>
        <v>78</v>
      </c>
      <c r="J24" s="19">
        <f ca="1">IFERROR(__xludf.DUMMYFUNCTION("""COMPUTED_VALUE"""),0)</f>
        <v>0</v>
      </c>
      <c r="K24" s="20">
        <f ca="1">IFERROR(__xludf.DUMMYFUNCTION("""COMPUTED_VALUE"""),90)</f>
        <v>90</v>
      </c>
      <c r="L24" s="20">
        <f ca="1">IFERROR(__xludf.DUMMYFUNCTION("""COMPUTED_VALUE"""),0)</f>
        <v>0</v>
      </c>
      <c r="M24" s="21">
        <f ca="1">IFERROR(__xludf.DUMMYFUNCTION("""COMPUTED_VALUE"""),58)</f>
        <v>58</v>
      </c>
      <c r="N24" s="21">
        <f ca="1">IFERROR(__xludf.DUMMYFUNCTION("""COMPUTED_VALUE"""),0)</f>
        <v>0</v>
      </c>
      <c r="O24" s="22">
        <f ca="1">IFERROR(__xludf.DUMMYFUNCTION("""COMPUTED_VALUE"""),49)</f>
        <v>49</v>
      </c>
      <c r="P24" s="22">
        <f ca="1">IFERROR(__xludf.DUMMYFUNCTION("""COMPUTED_VALUE"""),0)</f>
        <v>0</v>
      </c>
      <c r="Q24" s="23">
        <f ca="1">IFERROR(__xludf.DUMMYFUNCTION("""COMPUTED_VALUE"""),411)</f>
        <v>411</v>
      </c>
      <c r="R24" s="23">
        <f ca="1">IFERROR(__xludf.DUMMYFUNCTION("""COMPUTED_VALUE"""),0)</f>
        <v>0</v>
      </c>
      <c r="S24" s="24" t="str">
        <f ca="1">IFERROR(__xludf.DUMMYFUNCTION("""COMPUTED_VALUE"""),"Blaze")</f>
        <v>Blaze</v>
      </c>
      <c r="T24" s="24" t="str">
        <f ca="1">IFERROR(__xludf.DUMMYFUNCTION("""COMPUTED_VALUE"""),"Unaware")</f>
        <v>Unaware</v>
      </c>
      <c r="U24" s="24" t="str">
        <f ca="1">IFERROR(__xludf.DUMMYFUNCTION("""COMPUTED_VALUE"""),"Dry Skin")</f>
        <v>Dry Skin</v>
      </c>
      <c r="V24" s="25" t="str">
        <f ca="1">IFERROR(__xludf.DUMMYFUNCTION("""COMPUTED_VALUE"""),"Lv. 16")</f>
        <v>Lv. 16</v>
      </c>
      <c r="W24" s="25"/>
      <c r="X24" s="25"/>
      <c r="Y24" s="25" t="str">
        <f ca="1">IFERROR(__xludf.DUMMYFUNCTION("""COMPUTED_VALUE"""),"Fuecoco (evolve)")</f>
        <v>Fuecoco (evolve)</v>
      </c>
    </row>
    <row r="25" spans="1:25" x14ac:dyDescent="0.25">
      <c r="A25" s="15" t="str">
        <f ca="1">IFERROR(__xludf.DUMMYFUNCTION("""COMPUTED_VALUE"""),"Skeledirge")</f>
        <v>Skeledirge</v>
      </c>
      <c r="B25" s="16">
        <f ca="1">IFERROR(__xludf.DUMMYFUNCTION("""COMPUTED_VALUE"""),24)</f>
        <v>24</v>
      </c>
      <c r="C25" s="3" t="str">
        <f ca="1">IFERROR(__xludf.DUMMYFUNCTION("""COMPUTED_VALUE"""),"Fire")</f>
        <v>Fire</v>
      </c>
      <c r="D25" s="3" t="str">
        <f ca="1">IFERROR(__xludf.DUMMYFUNCTION("""COMPUTED_VALUE"""),"Ghost")</f>
        <v>Ghost</v>
      </c>
      <c r="E25" s="17">
        <f ca="1">IFERROR(__xludf.DUMMYFUNCTION("""COMPUTED_VALUE"""),104)</f>
        <v>104</v>
      </c>
      <c r="F25" s="17">
        <f ca="1">IFERROR(__xludf.DUMMYFUNCTION("""COMPUTED_VALUE"""),0)</f>
        <v>0</v>
      </c>
      <c r="G25" s="18">
        <f ca="1">IFERROR(__xludf.DUMMYFUNCTION("""COMPUTED_VALUE"""),75)</f>
        <v>75</v>
      </c>
      <c r="H25" s="18">
        <f ca="1">IFERROR(__xludf.DUMMYFUNCTION("""COMPUTED_VALUE"""),0)</f>
        <v>0</v>
      </c>
      <c r="I25" s="19">
        <f ca="1">IFERROR(__xludf.DUMMYFUNCTION("""COMPUTED_VALUE"""),100)</f>
        <v>100</v>
      </c>
      <c r="J25" s="19">
        <f ca="1">IFERROR(__xludf.DUMMYFUNCTION("""COMPUTED_VALUE"""),0)</f>
        <v>0</v>
      </c>
      <c r="K25" s="20">
        <f ca="1">IFERROR(__xludf.DUMMYFUNCTION("""COMPUTED_VALUE"""),110)</f>
        <v>110</v>
      </c>
      <c r="L25" s="20">
        <f ca="1">IFERROR(__xludf.DUMMYFUNCTION("""COMPUTED_VALUE"""),0)</f>
        <v>0</v>
      </c>
      <c r="M25" s="21">
        <f ca="1">IFERROR(__xludf.DUMMYFUNCTION("""COMPUTED_VALUE"""),75)</f>
        <v>75</v>
      </c>
      <c r="N25" s="21">
        <f ca="1">IFERROR(__xludf.DUMMYFUNCTION("""COMPUTED_VALUE"""),0)</f>
        <v>0</v>
      </c>
      <c r="O25" s="22">
        <f ca="1">IFERROR(__xludf.DUMMYFUNCTION("""COMPUTED_VALUE"""),66)</f>
        <v>66</v>
      </c>
      <c r="P25" s="22">
        <f ca="1">IFERROR(__xludf.DUMMYFUNCTION("""COMPUTED_VALUE"""),0)</f>
        <v>0</v>
      </c>
      <c r="Q25" s="23">
        <f ca="1">IFERROR(__xludf.DUMMYFUNCTION("""COMPUTED_VALUE"""),530)</f>
        <v>530</v>
      </c>
      <c r="R25" s="23">
        <f ca="1">IFERROR(__xludf.DUMMYFUNCTION("""COMPUTED_VALUE"""),0)</f>
        <v>0</v>
      </c>
      <c r="S25" s="24" t="str">
        <f ca="1">IFERROR(__xludf.DUMMYFUNCTION("""COMPUTED_VALUE"""),"Blaze")</f>
        <v>Blaze</v>
      </c>
      <c r="T25" s="24" t="str">
        <f ca="1">IFERROR(__xludf.DUMMYFUNCTION("""COMPUTED_VALUE"""),"Unaware")</f>
        <v>Unaware</v>
      </c>
      <c r="U25" s="24" t="str">
        <f ca="1">IFERROR(__xludf.DUMMYFUNCTION("""COMPUTED_VALUE"""),"Dry Skin")</f>
        <v>Dry Skin</v>
      </c>
      <c r="V25" s="25" t="str">
        <f ca="1">IFERROR(__xludf.DUMMYFUNCTION("""COMPUTED_VALUE"""),"Lv. 36")</f>
        <v>Lv. 36</v>
      </c>
      <c r="W25" s="25"/>
      <c r="X25" s="25"/>
      <c r="Y25" s="25" t="str">
        <f ca="1">IFERROR(__xludf.DUMMYFUNCTION("""COMPUTED_VALUE"""),"Crocalor (evolve)")</f>
        <v>Crocalor (evolve)</v>
      </c>
    </row>
    <row r="26" spans="1:25" x14ac:dyDescent="0.25">
      <c r="A26" s="15" t="str">
        <f ca="1">IFERROR(__xludf.DUMMYFUNCTION("""COMPUTED_VALUE"""),"Quaxly")</f>
        <v>Quaxly</v>
      </c>
      <c r="B26" s="16">
        <f ca="1">IFERROR(__xludf.DUMMYFUNCTION("""COMPUTED_VALUE"""),25)</f>
        <v>25</v>
      </c>
      <c r="C26" s="3" t="str">
        <f ca="1">IFERROR(__xludf.DUMMYFUNCTION("""COMPUTED_VALUE"""),"Water")</f>
        <v>Water</v>
      </c>
      <c r="D26" s="3"/>
      <c r="E26" s="17">
        <f ca="1">IFERROR(__xludf.DUMMYFUNCTION("""COMPUTED_VALUE"""),55)</f>
        <v>55</v>
      </c>
      <c r="F26" s="17">
        <f ca="1">IFERROR(__xludf.DUMMYFUNCTION("""COMPUTED_VALUE"""),0)</f>
        <v>0</v>
      </c>
      <c r="G26" s="18">
        <f ca="1">IFERROR(__xludf.DUMMYFUNCTION("""COMPUTED_VALUE"""),65)</f>
        <v>65</v>
      </c>
      <c r="H26" s="18">
        <f ca="1">IFERROR(__xludf.DUMMYFUNCTION("""COMPUTED_VALUE"""),0)</f>
        <v>0</v>
      </c>
      <c r="I26" s="19">
        <f ca="1">IFERROR(__xludf.DUMMYFUNCTION("""COMPUTED_VALUE"""),45)</f>
        <v>45</v>
      </c>
      <c r="J26" s="19">
        <f ca="1">IFERROR(__xludf.DUMMYFUNCTION("""COMPUTED_VALUE"""),0)</f>
        <v>0</v>
      </c>
      <c r="K26" s="20">
        <f ca="1">IFERROR(__xludf.DUMMYFUNCTION("""COMPUTED_VALUE"""),50)</f>
        <v>50</v>
      </c>
      <c r="L26" s="20">
        <f ca="1">IFERROR(__xludf.DUMMYFUNCTION("""COMPUTED_VALUE"""),0)</f>
        <v>0</v>
      </c>
      <c r="M26" s="21">
        <f ca="1">IFERROR(__xludf.DUMMYFUNCTION("""COMPUTED_VALUE"""),45)</f>
        <v>45</v>
      </c>
      <c r="N26" s="21">
        <f ca="1">IFERROR(__xludf.DUMMYFUNCTION("""COMPUTED_VALUE"""),0)</f>
        <v>0</v>
      </c>
      <c r="O26" s="22">
        <f ca="1">IFERROR(__xludf.DUMMYFUNCTION("""COMPUTED_VALUE"""),50)</f>
        <v>50</v>
      </c>
      <c r="P26" s="22">
        <f ca="1">IFERROR(__xludf.DUMMYFUNCTION("""COMPUTED_VALUE"""),0)</f>
        <v>0</v>
      </c>
      <c r="Q26" s="23">
        <f ca="1">IFERROR(__xludf.DUMMYFUNCTION("""COMPUTED_VALUE"""),310)</f>
        <v>310</v>
      </c>
      <c r="R26" s="23">
        <f ca="1">IFERROR(__xludf.DUMMYFUNCTION("""COMPUTED_VALUE"""),0)</f>
        <v>0</v>
      </c>
      <c r="S26" s="24" t="str">
        <f ca="1">IFERROR(__xludf.DUMMYFUNCTION("""COMPUTED_VALUE"""),"Torrent")</f>
        <v>Torrent</v>
      </c>
      <c r="T26" s="24" t="str">
        <f ca="1">IFERROR(__xludf.DUMMYFUNCTION("""COMPUTED_VALUE"""),"Strong Legs")</f>
        <v>Strong Legs</v>
      </c>
      <c r="U26" s="24" t="str">
        <f ca="1">IFERROR(__xludf.DUMMYFUNCTION("""COMPUTED_VALUE"""),"Moxie")</f>
        <v>Moxie</v>
      </c>
      <c r="V26" s="25"/>
      <c r="W26" s="25"/>
      <c r="X26" s="25"/>
      <c r="Y26" s="25" t="str">
        <f ca="1">IFERROR(__xludf.DUMMYFUNCTION("""COMPUTED_VALUE"""),"Starter, 170 Unique Species (event) Sea of Vulcai (wild)")</f>
        <v>Starter, 170 Unique Species (event) Sea of Vulcai (wild)</v>
      </c>
    </row>
    <row r="27" spans="1:25" x14ac:dyDescent="0.25">
      <c r="A27" s="15" t="str">
        <f ca="1">IFERROR(__xludf.DUMMYFUNCTION("""COMPUTED_VALUE"""),"Quaxwell")</f>
        <v>Quaxwell</v>
      </c>
      <c r="B27" s="16">
        <f ca="1">IFERROR(__xludf.DUMMYFUNCTION("""COMPUTED_VALUE"""),26)</f>
        <v>26</v>
      </c>
      <c r="C27" s="3" t="str">
        <f ca="1">IFERROR(__xludf.DUMMYFUNCTION("""COMPUTED_VALUE"""),"Water")</f>
        <v>Water</v>
      </c>
      <c r="D27" s="3"/>
      <c r="E27" s="17">
        <f ca="1">IFERROR(__xludf.DUMMYFUNCTION("""COMPUTED_VALUE"""),70)</f>
        <v>70</v>
      </c>
      <c r="F27" s="17">
        <f ca="1">IFERROR(__xludf.DUMMYFUNCTION("""COMPUTED_VALUE"""),0)</f>
        <v>0</v>
      </c>
      <c r="G27" s="18">
        <f ca="1">IFERROR(__xludf.DUMMYFUNCTION("""COMPUTED_VALUE"""),85)</f>
        <v>85</v>
      </c>
      <c r="H27" s="18">
        <f ca="1">IFERROR(__xludf.DUMMYFUNCTION("""COMPUTED_VALUE"""),0)</f>
        <v>0</v>
      </c>
      <c r="I27" s="19">
        <f ca="1">IFERROR(__xludf.DUMMYFUNCTION("""COMPUTED_VALUE"""),65)</f>
        <v>65</v>
      </c>
      <c r="J27" s="19">
        <f ca="1">IFERROR(__xludf.DUMMYFUNCTION("""COMPUTED_VALUE"""),0)</f>
        <v>0</v>
      </c>
      <c r="K27" s="20">
        <f ca="1">IFERROR(__xludf.DUMMYFUNCTION("""COMPUTED_VALUE"""),65)</f>
        <v>65</v>
      </c>
      <c r="L27" s="20">
        <f ca="1">IFERROR(__xludf.DUMMYFUNCTION("""COMPUTED_VALUE"""),0)</f>
        <v>0</v>
      </c>
      <c r="M27" s="21">
        <f ca="1">IFERROR(__xludf.DUMMYFUNCTION("""COMPUTED_VALUE"""),60)</f>
        <v>60</v>
      </c>
      <c r="N27" s="21">
        <f ca="1">IFERROR(__xludf.DUMMYFUNCTION("""COMPUTED_VALUE"""),0)</f>
        <v>0</v>
      </c>
      <c r="O27" s="22">
        <f ca="1">IFERROR(__xludf.DUMMYFUNCTION("""COMPUTED_VALUE"""),65)</f>
        <v>65</v>
      </c>
      <c r="P27" s="22">
        <f ca="1">IFERROR(__xludf.DUMMYFUNCTION("""COMPUTED_VALUE"""),0)</f>
        <v>0</v>
      </c>
      <c r="Q27" s="23">
        <f ca="1">IFERROR(__xludf.DUMMYFUNCTION("""COMPUTED_VALUE"""),410)</f>
        <v>410</v>
      </c>
      <c r="R27" s="23">
        <f ca="1">IFERROR(__xludf.DUMMYFUNCTION("""COMPUTED_VALUE"""),0)</f>
        <v>0</v>
      </c>
      <c r="S27" s="24" t="str">
        <f ca="1">IFERROR(__xludf.DUMMYFUNCTION("""COMPUTED_VALUE"""),"Torrent")</f>
        <v>Torrent</v>
      </c>
      <c r="T27" s="24" t="str">
        <f ca="1">IFERROR(__xludf.DUMMYFUNCTION("""COMPUTED_VALUE"""),"Strong Legs")</f>
        <v>Strong Legs</v>
      </c>
      <c r="U27" s="24" t="str">
        <f ca="1">IFERROR(__xludf.DUMMYFUNCTION("""COMPUTED_VALUE"""),"Moxie")</f>
        <v>Moxie</v>
      </c>
      <c r="V27" s="25" t="str">
        <f ca="1">IFERROR(__xludf.DUMMYFUNCTION("""COMPUTED_VALUE"""),"Lv. 16")</f>
        <v>Lv. 16</v>
      </c>
      <c r="W27" s="25"/>
      <c r="X27" s="25"/>
      <c r="Y27" s="25" t="str">
        <f ca="1">IFERROR(__xludf.DUMMYFUNCTION("""COMPUTED_VALUE"""),"Quaxly (evolve)")</f>
        <v>Quaxly (evolve)</v>
      </c>
    </row>
    <row r="28" spans="1:25" x14ac:dyDescent="0.25">
      <c r="A28" s="15" t="str">
        <f ca="1">IFERROR(__xludf.DUMMYFUNCTION("""COMPUTED_VALUE"""),"Quaquaval")</f>
        <v>Quaquaval</v>
      </c>
      <c r="B28" s="16">
        <f ca="1">IFERROR(__xludf.DUMMYFUNCTION("""COMPUTED_VALUE"""),27)</f>
        <v>27</v>
      </c>
      <c r="C28" s="3" t="str">
        <f ca="1">IFERROR(__xludf.DUMMYFUNCTION("""COMPUTED_VALUE"""),"Water")</f>
        <v>Water</v>
      </c>
      <c r="D28" s="3" t="str">
        <f ca="1">IFERROR(__xludf.DUMMYFUNCTION("""COMPUTED_VALUE"""),"Fighting")</f>
        <v>Fighting</v>
      </c>
      <c r="E28" s="17">
        <f ca="1">IFERROR(__xludf.DUMMYFUNCTION("""COMPUTED_VALUE"""),85)</f>
        <v>85</v>
      </c>
      <c r="F28" s="17">
        <f ca="1">IFERROR(__xludf.DUMMYFUNCTION("""COMPUTED_VALUE"""),0)</f>
        <v>0</v>
      </c>
      <c r="G28" s="18">
        <f ca="1">IFERROR(__xludf.DUMMYFUNCTION("""COMPUTED_VALUE"""),125)</f>
        <v>125</v>
      </c>
      <c r="H28" s="18">
        <f ca="1">IFERROR(__xludf.DUMMYFUNCTION("""COMPUTED_VALUE"""),5)</f>
        <v>5</v>
      </c>
      <c r="I28" s="19">
        <f ca="1">IFERROR(__xludf.DUMMYFUNCTION("""COMPUTED_VALUE"""),85)</f>
        <v>85</v>
      </c>
      <c r="J28" s="19">
        <f ca="1">IFERROR(__xludf.DUMMYFUNCTION("""COMPUTED_VALUE"""),5)</f>
        <v>5</v>
      </c>
      <c r="K28" s="20">
        <f ca="1">IFERROR(__xludf.DUMMYFUNCTION("""COMPUTED_VALUE"""),75)</f>
        <v>75</v>
      </c>
      <c r="L28" s="20">
        <f ca="1">IFERROR(__xludf.DUMMYFUNCTION("""COMPUTED_VALUE"""),-10)</f>
        <v>-10</v>
      </c>
      <c r="M28" s="21">
        <f ca="1">IFERROR(__xludf.DUMMYFUNCTION("""COMPUTED_VALUE"""),75)</f>
        <v>75</v>
      </c>
      <c r="N28" s="21">
        <f ca="1">IFERROR(__xludf.DUMMYFUNCTION("""COMPUTED_VALUE"""),0)</f>
        <v>0</v>
      </c>
      <c r="O28" s="22">
        <f ca="1">IFERROR(__xludf.DUMMYFUNCTION("""COMPUTED_VALUE"""),85)</f>
        <v>85</v>
      </c>
      <c r="P28" s="22">
        <f ca="1">IFERROR(__xludf.DUMMYFUNCTION("""COMPUTED_VALUE"""),0)</f>
        <v>0</v>
      </c>
      <c r="Q28" s="23">
        <f ca="1">IFERROR(__xludf.DUMMYFUNCTION("""COMPUTED_VALUE"""),530)</f>
        <v>530</v>
      </c>
      <c r="R28" s="23">
        <f ca="1">IFERROR(__xludf.DUMMYFUNCTION("""COMPUTED_VALUE"""),0)</f>
        <v>0</v>
      </c>
      <c r="S28" s="24" t="str">
        <f ca="1">IFERROR(__xludf.DUMMYFUNCTION("""COMPUTED_VALUE"""),"Torrent")</f>
        <v>Torrent</v>
      </c>
      <c r="T28" s="24" t="str">
        <f ca="1">IFERROR(__xludf.DUMMYFUNCTION("""COMPUTED_VALUE"""),"Strong Legs")</f>
        <v>Strong Legs</v>
      </c>
      <c r="U28" s="24" t="str">
        <f ca="1">IFERROR(__xludf.DUMMYFUNCTION("""COMPUTED_VALUE"""),"Moxie")</f>
        <v>Moxie</v>
      </c>
      <c r="V28" s="25" t="str">
        <f ca="1">IFERROR(__xludf.DUMMYFUNCTION("""COMPUTED_VALUE"""),"Lv. 36")</f>
        <v>Lv. 36</v>
      </c>
      <c r="W28" s="25"/>
      <c r="X28" s="25"/>
      <c r="Y28" s="25" t="str">
        <f ca="1">IFERROR(__xludf.DUMMYFUNCTION("""COMPUTED_VALUE"""),"Quaxwell (evolve)")</f>
        <v>Quaxwell (evolve)</v>
      </c>
    </row>
    <row r="29" spans="1:25" x14ac:dyDescent="0.25">
      <c r="A29" s="15" t="str">
        <f ca="1">IFERROR(__xludf.DUMMYFUNCTION("""COMPUTED_VALUE"""),"Pansage")</f>
        <v>Pansage</v>
      </c>
      <c r="B29" s="16">
        <f ca="1">IFERROR(__xludf.DUMMYFUNCTION("""COMPUTED_VALUE"""),28)</f>
        <v>28</v>
      </c>
      <c r="C29" s="3" t="str">
        <f ca="1">IFERROR(__xludf.DUMMYFUNCTION("""COMPUTED_VALUE"""),"Grass")</f>
        <v>Grass</v>
      </c>
      <c r="D29" s="3" t="str">
        <f ca="1">IFERROR(__xludf.DUMMYFUNCTION("""COMPUTED_VALUE"""),"Normal")</f>
        <v>Normal</v>
      </c>
      <c r="E29" s="17">
        <f ca="1">IFERROR(__xludf.DUMMYFUNCTION("""COMPUTED_VALUE"""),50)</f>
        <v>50</v>
      </c>
      <c r="F29" s="17">
        <f ca="1">IFERROR(__xludf.DUMMYFUNCTION("""COMPUTED_VALUE"""),0)</f>
        <v>0</v>
      </c>
      <c r="G29" s="18">
        <f ca="1">IFERROR(__xludf.DUMMYFUNCTION("""COMPUTED_VALUE"""),58)</f>
        <v>58</v>
      </c>
      <c r="H29" s="18">
        <f ca="1">IFERROR(__xludf.DUMMYFUNCTION("""COMPUTED_VALUE"""),5)</f>
        <v>5</v>
      </c>
      <c r="I29" s="19">
        <f ca="1">IFERROR(__xludf.DUMMYFUNCTION("""COMPUTED_VALUE"""),53)</f>
        <v>53</v>
      </c>
      <c r="J29" s="19">
        <f ca="1">IFERROR(__xludf.DUMMYFUNCTION("""COMPUTED_VALUE"""),5)</f>
        <v>5</v>
      </c>
      <c r="K29" s="20">
        <f ca="1">IFERROR(__xludf.DUMMYFUNCTION("""COMPUTED_VALUE"""),58)</f>
        <v>58</v>
      </c>
      <c r="L29" s="20">
        <f ca="1">IFERROR(__xludf.DUMMYFUNCTION("""COMPUTED_VALUE"""),5)</f>
        <v>5</v>
      </c>
      <c r="M29" s="21">
        <f ca="1">IFERROR(__xludf.DUMMYFUNCTION("""COMPUTED_VALUE"""),53)</f>
        <v>53</v>
      </c>
      <c r="N29" s="21">
        <f ca="1">IFERROR(__xludf.DUMMYFUNCTION("""COMPUTED_VALUE"""),5)</f>
        <v>5</v>
      </c>
      <c r="O29" s="22">
        <f ca="1">IFERROR(__xludf.DUMMYFUNCTION("""COMPUTED_VALUE"""),64)</f>
        <v>64</v>
      </c>
      <c r="P29" s="22">
        <f ca="1">IFERROR(__xludf.DUMMYFUNCTION("""COMPUTED_VALUE"""),0)</f>
        <v>0</v>
      </c>
      <c r="Q29" s="23">
        <f ca="1">IFERROR(__xludf.DUMMYFUNCTION("""COMPUTED_VALUE"""),336)</f>
        <v>336</v>
      </c>
      <c r="R29" s="23">
        <f ca="1">IFERROR(__xludf.DUMMYFUNCTION("""COMPUTED_VALUE"""),20)</f>
        <v>20</v>
      </c>
      <c r="S29" s="24" t="str">
        <f ca="1">IFERROR(__xludf.DUMMYFUNCTION("""COMPUTED_VALUE"""),"Gluttony")</f>
        <v>Gluttony</v>
      </c>
      <c r="T29" s="24" t="str">
        <f ca="1">IFERROR(__xludf.DUMMYFUNCTION("""COMPUTED_VALUE"""),"Cud Chew")</f>
        <v>Cud Chew</v>
      </c>
      <c r="U29" s="24" t="str">
        <f ca="1">IFERROR(__xludf.DUMMYFUNCTION("""COMPUTED_VALUE"""),"Overgrow")</f>
        <v>Overgrow</v>
      </c>
      <c r="V29" s="25"/>
      <c r="W29" s="25"/>
      <c r="X29" s="25"/>
      <c r="Y29" s="25" t="str">
        <f ca="1">IFERROR(__xludf.DUMMYFUNCTION("""COMPUTED_VALUE"""),"Acrisia City (wild)")</f>
        <v>Acrisia City (wild)</v>
      </c>
    </row>
    <row r="30" spans="1:25" x14ac:dyDescent="0.25">
      <c r="A30" s="15" t="str">
        <f ca="1">IFERROR(__xludf.DUMMYFUNCTION("""COMPUTED_VALUE"""),"Simisage")</f>
        <v>Simisage</v>
      </c>
      <c r="B30" s="16">
        <f ca="1">IFERROR(__xludf.DUMMYFUNCTION("""COMPUTED_VALUE"""),29)</f>
        <v>29</v>
      </c>
      <c r="C30" s="3" t="str">
        <f ca="1">IFERROR(__xludf.DUMMYFUNCTION("""COMPUTED_VALUE"""),"Grass")</f>
        <v>Grass</v>
      </c>
      <c r="D30" s="3" t="str">
        <f ca="1">IFERROR(__xludf.DUMMYFUNCTION("""COMPUTED_VALUE"""),"Normal")</f>
        <v>Normal</v>
      </c>
      <c r="E30" s="17">
        <f ca="1">IFERROR(__xludf.DUMMYFUNCTION("""COMPUTED_VALUE"""),75)</f>
        <v>75</v>
      </c>
      <c r="F30" s="17">
        <f ca="1">IFERROR(__xludf.DUMMYFUNCTION("""COMPUTED_VALUE"""),0)</f>
        <v>0</v>
      </c>
      <c r="G30" s="18">
        <f ca="1">IFERROR(__xludf.DUMMYFUNCTION("""COMPUTED_VALUE"""),103)</f>
        <v>103</v>
      </c>
      <c r="H30" s="18">
        <f ca="1">IFERROR(__xludf.DUMMYFUNCTION("""COMPUTED_VALUE"""),5)</f>
        <v>5</v>
      </c>
      <c r="I30" s="19">
        <f ca="1">IFERROR(__xludf.DUMMYFUNCTION("""COMPUTED_VALUE"""),63)</f>
        <v>63</v>
      </c>
      <c r="J30" s="19">
        <f ca="1">IFERROR(__xludf.DUMMYFUNCTION("""COMPUTED_VALUE"""),0)</f>
        <v>0</v>
      </c>
      <c r="K30" s="20">
        <f ca="1">IFERROR(__xludf.DUMMYFUNCTION("""COMPUTED_VALUE"""),98)</f>
        <v>98</v>
      </c>
      <c r="L30" s="20">
        <f ca="1">IFERROR(__xludf.DUMMYFUNCTION("""COMPUTED_VALUE"""),0)</f>
        <v>0</v>
      </c>
      <c r="M30" s="21">
        <f ca="1">IFERROR(__xludf.DUMMYFUNCTION("""COMPUTED_VALUE"""),63)</f>
        <v>63</v>
      </c>
      <c r="N30" s="21">
        <f ca="1">IFERROR(__xludf.DUMMYFUNCTION("""COMPUTED_VALUE"""),0)</f>
        <v>0</v>
      </c>
      <c r="O30" s="22">
        <f ca="1">IFERROR(__xludf.DUMMYFUNCTION("""COMPUTED_VALUE"""),103)</f>
        <v>103</v>
      </c>
      <c r="P30" s="22">
        <f ca="1">IFERROR(__xludf.DUMMYFUNCTION("""COMPUTED_VALUE"""),2)</f>
        <v>2</v>
      </c>
      <c r="Q30" s="23">
        <f ca="1">IFERROR(__xludf.DUMMYFUNCTION("""COMPUTED_VALUE"""),505)</f>
        <v>505</v>
      </c>
      <c r="R30" s="23">
        <f ca="1">IFERROR(__xludf.DUMMYFUNCTION("""COMPUTED_VALUE"""),7)</f>
        <v>7</v>
      </c>
      <c r="S30" s="24" t="str">
        <f ca="1">IFERROR(__xludf.DUMMYFUNCTION("""COMPUTED_VALUE"""),"Gluttony")</f>
        <v>Gluttony</v>
      </c>
      <c r="T30" s="24" t="str">
        <f ca="1">IFERROR(__xludf.DUMMYFUNCTION("""COMPUTED_VALUE"""),"Cud Chew")</f>
        <v>Cud Chew</v>
      </c>
      <c r="U30" s="24" t="str">
        <f ca="1">IFERROR(__xludf.DUMMYFUNCTION("""COMPUTED_VALUE"""),"Overgrow")</f>
        <v>Overgrow</v>
      </c>
      <c r="V30" s="25" t="str">
        <f ca="1">IFERROR(__xludf.DUMMYFUNCTION("""COMPUTED_VALUE"""),"Leaf Stone")</f>
        <v>Leaf Stone</v>
      </c>
      <c r="W30" s="25"/>
      <c r="X30" s="25"/>
      <c r="Y30" s="25" t="str">
        <f ca="1">IFERROR(__xludf.DUMMYFUNCTION("""COMPUTED_VALUE"""),"Pansage (evolve)")</f>
        <v>Pansage (evolve)</v>
      </c>
    </row>
    <row r="31" spans="1:25" x14ac:dyDescent="0.25">
      <c r="A31" s="15" t="str">
        <f ca="1">IFERROR(__xludf.DUMMYFUNCTION("""COMPUTED_VALUE"""),"Pansear")</f>
        <v>Pansear</v>
      </c>
      <c r="B31" s="16">
        <f ca="1">IFERROR(__xludf.DUMMYFUNCTION("""COMPUTED_VALUE"""),30)</f>
        <v>30</v>
      </c>
      <c r="C31" s="3" t="str">
        <f ca="1">IFERROR(__xludf.DUMMYFUNCTION("""COMPUTED_VALUE"""),"Fire")</f>
        <v>Fire</v>
      </c>
      <c r="D31" s="3" t="str">
        <f ca="1">IFERROR(__xludf.DUMMYFUNCTION("""COMPUTED_VALUE"""),"Normal")</f>
        <v>Normal</v>
      </c>
      <c r="E31" s="17">
        <f ca="1">IFERROR(__xludf.DUMMYFUNCTION("""COMPUTED_VALUE"""),50)</f>
        <v>50</v>
      </c>
      <c r="F31" s="17">
        <f ca="1">IFERROR(__xludf.DUMMYFUNCTION("""COMPUTED_VALUE"""),0)</f>
        <v>0</v>
      </c>
      <c r="G31" s="18">
        <f ca="1">IFERROR(__xludf.DUMMYFUNCTION("""COMPUTED_VALUE"""),58)</f>
        <v>58</v>
      </c>
      <c r="H31" s="18">
        <f ca="1">IFERROR(__xludf.DUMMYFUNCTION("""COMPUTED_VALUE"""),5)</f>
        <v>5</v>
      </c>
      <c r="I31" s="19">
        <f ca="1">IFERROR(__xludf.DUMMYFUNCTION("""COMPUTED_VALUE"""),53)</f>
        <v>53</v>
      </c>
      <c r="J31" s="19">
        <f ca="1">IFERROR(__xludf.DUMMYFUNCTION("""COMPUTED_VALUE"""),5)</f>
        <v>5</v>
      </c>
      <c r="K31" s="20">
        <f ca="1">IFERROR(__xludf.DUMMYFUNCTION("""COMPUTED_VALUE"""),58)</f>
        <v>58</v>
      </c>
      <c r="L31" s="20">
        <f ca="1">IFERROR(__xludf.DUMMYFUNCTION("""COMPUTED_VALUE"""),5)</f>
        <v>5</v>
      </c>
      <c r="M31" s="21">
        <f ca="1">IFERROR(__xludf.DUMMYFUNCTION("""COMPUTED_VALUE"""),53)</f>
        <v>53</v>
      </c>
      <c r="N31" s="21">
        <f ca="1">IFERROR(__xludf.DUMMYFUNCTION("""COMPUTED_VALUE"""),5)</f>
        <v>5</v>
      </c>
      <c r="O31" s="22">
        <f ca="1">IFERROR(__xludf.DUMMYFUNCTION("""COMPUTED_VALUE"""),64)</f>
        <v>64</v>
      </c>
      <c r="P31" s="22">
        <f ca="1">IFERROR(__xludf.DUMMYFUNCTION("""COMPUTED_VALUE"""),0)</f>
        <v>0</v>
      </c>
      <c r="Q31" s="23">
        <f ca="1">IFERROR(__xludf.DUMMYFUNCTION("""COMPUTED_VALUE"""),336)</f>
        <v>336</v>
      </c>
      <c r="R31" s="23">
        <f ca="1">IFERROR(__xludf.DUMMYFUNCTION("""COMPUTED_VALUE"""),20)</f>
        <v>20</v>
      </c>
      <c r="S31" s="24" t="str">
        <f ca="1">IFERROR(__xludf.DUMMYFUNCTION("""COMPUTED_VALUE"""),"Gluttony")</f>
        <v>Gluttony</v>
      </c>
      <c r="T31" s="24" t="str">
        <f ca="1">IFERROR(__xludf.DUMMYFUNCTION("""COMPUTED_VALUE"""),"Cud Chew")</f>
        <v>Cud Chew</v>
      </c>
      <c r="U31" s="24" t="str">
        <f ca="1">IFERROR(__xludf.DUMMYFUNCTION("""COMPUTED_VALUE"""),"Blaze")</f>
        <v>Blaze</v>
      </c>
      <c r="V31" s="25"/>
      <c r="W31" s="25"/>
      <c r="X31" s="25"/>
      <c r="Y31" s="25" t="str">
        <f ca="1">IFERROR(__xludf.DUMMYFUNCTION("""COMPUTED_VALUE"""),"Acrisia City (wild)")</f>
        <v>Acrisia City (wild)</v>
      </c>
    </row>
    <row r="32" spans="1:25" x14ac:dyDescent="0.25">
      <c r="A32" s="15" t="str">
        <f ca="1">IFERROR(__xludf.DUMMYFUNCTION("""COMPUTED_VALUE"""),"Simisear")</f>
        <v>Simisear</v>
      </c>
      <c r="B32" s="16">
        <f ca="1">IFERROR(__xludf.DUMMYFUNCTION("""COMPUTED_VALUE"""),31)</f>
        <v>31</v>
      </c>
      <c r="C32" s="3" t="str">
        <f ca="1">IFERROR(__xludf.DUMMYFUNCTION("""COMPUTED_VALUE"""),"Fire")</f>
        <v>Fire</v>
      </c>
      <c r="D32" s="3" t="str">
        <f ca="1">IFERROR(__xludf.DUMMYFUNCTION("""COMPUTED_VALUE"""),"Normal")</f>
        <v>Normal</v>
      </c>
      <c r="E32" s="17">
        <f ca="1">IFERROR(__xludf.DUMMYFUNCTION("""COMPUTED_VALUE"""),82)</f>
        <v>82</v>
      </c>
      <c r="F32" s="17">
        <f ca="1">IFERROR(__xludf.DUMMYFUNCTION("""COMPUTED_VALUE"""),7)</f>
        <v>7</v>
      </c>
      <c r="G32" s="18">
        <f ca="1">IFERROR(__xludf.DUMMYFUNCTION("""COMPUTED_VALUE"""),93)</f>
        <v>93</v>
      </c>
      <c r="H32" s="18">
        <f ca="1">IFERROR(__xludf.DUMMYFUNCTION("""COMPUTED_VALUE"""),-5)</f>
        <v>-5</v>
      </c>
      <c r="I32" s="19">
        <f ca="1">IFERROR(__xludf.DUMMYFUNCTION("""COMPUTED_VALUE"""),63)</f>
        <v>63</v>
      </c>
      <c r="J32" s="19">
        <f ca="1">IFERROR(__xludf.DUMMYFUNCTION("""COMPUTED_VALUE"""),0)</f>
        <v>0</v>
      </c>
      <c r="K32" s="20">
        <f ca="1">IFERROR(__xludf.DUMMYFUNCTION("""COMPUTED_VALUE"""),103)</f>
        <v>103</v>
      </c>
      <c r="L32" s="20">
        <f ca="1">IFERROR(__xludf.DUMMYFUNCTION("""COMPUTED_VALUE"""),5)</f>
        <v>5</v>
      </c>
      <c r="M32" s="21">
        <f ca="1">IFERROR(__xludf.DUMMYFUNCTION("""COMPUTED_VALUE"""),63)</f>
        <v>63</v>
      </c>
      <c r="N32" s="21">
        <f ca="1">IFERROR(__xludf.DUMMYFUNCTION("""COMPUTED_VALUE"""),0)</f>
        <v>0</v>
      </c>
      <c r="O32" s="22">
        <f ca="1">IFERROR(__xludf.DUMMYFUNCTION("""COMPUTED_VALUE"""),101)</f>
        <v>101</v>
      </c>
      <c r="P32" s="22">
        <f ca="1">IFERROR(__xludf.DUMMYFUNCTION("""COMPUTED_VALUE"""),0)</f>
        <v>0</v>
      </c>
      <c r="Q32" s="23">
        <f ca="1">IFERROR(__xludf.DUMMYFUNCTION("""COMPUTED_VALUE"""),505)</f>
        <v>505</v>
      </c>
      <c r="R32" s="23">
        <f ca="1">IFERROR(__xludf.DUMMYFUNCTION("""COMPUTED_VALUE"""),7)</f>
        <v>7</v>
      </c>
      <c r="S32" s="24" t="str">
        <f ca="1">IFERROR(__xludf.DUMMYFUNCTION("""COMPUTED_VALUE"""),"Gluttony")</f>
        <v>Gluttony</v>
      </c>
      <c r="T32" s="24" t="str">
        <f ca="1">IFERROR(__xludf.DUMMYFUNCTION("""COMPUTED_VALUE"""),"Cud Chew")</f>
        <v>Cud Chew</v>
      </c>
      <c r="U32" s="24" t="str">
        <f ca="1">IFERROR(__xludf.DUMMYFUNCTION("""COMPUTED_VALUE"""),"Blaze")</f>
        <v>Blaze</v>
      </c>
      <c r="V32" s="25" t="str">
        <f ca="1">IFERROR(__xludf.DUMMYFUNCTION("""COMPUTED_VALUE"""),"Fire Stone")</f>
        <v>Fire Stone</v>
      </c>
      <c r="W32" s="25"/>
      <c r="X32" s="25"/>
      <c r="Y32" s="25" t="str">
        <f ca="1">IFERROR(__xludf.DUMMYFUNCTION("""COMPUTED_VALUE"""),"Pansear (evolve)")</f>
        <v>Pansear (evolve)</v>
      </c>
    </row>
    <row r="33" spans="1:25" x14ac:dyDescent="0.25">
      <c r="A33" s="15" t="str">
        <f ca="1">IFERROR(__xludf.DUMMYFUNCTION("""COMPUTED_VALUE"""),"Panpour")</f>
        <v>Panpour</v>
      </c>
      <c r="B33" s="16">
        <f ca="1">IFERROR(__xludf.DUMMYFUNCTION("""COMPUTED_VALUE"""),32)</f>
        <v>32</v>
      </c>
      <c r="C33" s="3" t="str">
        <f ca="1">IFERROR(__xludf.DUMMYFUNCTION("""COMPUTED_VALUE"""),"Water")</f>
        <v>Water</v>
      </c>
      <c r="D33" s="3" t="str">
        <f ca="1">IFERROR(__xludf.DUMMYFUNCTION("""COMPUTED_VALUE"""),"Normal")</f>
        <v>Normal</v>
      </c>
      <c r="E33" s="17">
        <f ca="1">IFERROR(__xludf.DUMMYFUNCTION("""COMPUTED_VALUE"""),50)</f>
        <v>50</v>
      </c>
      <c r="F33" s="17">
        <f ca="1">IFERROR(__xludf.DUMMYFUNCTION("""COMPUTED_VALUE"""),0)</f>
        <v>0</v>
      </c>
      <c r="G33" s="18">
        <f ca="1">IFERROR(__xludf.DUMMYFUNCTION("""COMPUTED_VALUE"""),58)</f>
        <v>58</v>
      </c>
      <c r="H33" s="18">
        <f ca="1">IFERROR(__xludf.DUMMYFUNCTION("""COMPUTED_VALUE"""),5)</f>
        <v>5</v>
      </c>
      <c r="I33" s="19">
        <f ca="1">IFERROR(__xludf.DUMMYFUNCTION("""COMPUTED_VALUE"""),53)</f>
        <v>53</v>
      </c>
      <c r="J33" s="19">
        <f ca="1">IFERROR(__xludf.DUMMYFUNCTION("""COMPUTED_VALUE"""),5)</f>
        <v>5</v>
      </c>
      <c r="K33" s="20">
        <f ca="1">IFERROR(__xludf.DUMMYFUNCTION("""COMPUTED_VALUE"""),58)</f>
        <v>58</v>
      </c>
      <c r="L33" s="20">
        <f ca="1">IFERROR(__xludf.DUMMYFUNCTION("""COMPUTED_VALUE"""),5)</f>
        <v>5</v>
      </c>
      <c r="M33" s="21">
        <f ca="1">IFERROR(__xludf.DUMMYFUNCTION("""COMPUTED_VALUE"""),53)</f>
        <v>53</v>
      </c>
      <c r="N33" s="21">
        <f ca="1">IFERROR(__xludf.DUMMYFUNCTION("""COMPUTED_VALUE"""),5)</f>
        <v>5</v>
      </c>
      <c r="O33" s="22">
        <f ca="1">IFERROR(__xludf.DUMMYFUNCTION("""COMPUTED_VALUE"""),64)</f>
        <v>64</v>
      </c>
      <c r="P33" s="22">
        <f ca="1">IFERROR(__xludf.DUMMYFUNCTION("""COMPUTED_VALUE"""),0)</f>
        <v>0</v>
      </c>
      <c r="Q33" s="23">
        <f ca="1">IFERROR(__xludf.DUMMYFUNCTION("""COMPUTED_VALUE"""),336)</f>
        <v>336</v>
      </c>
      <c r="R33" s="23">
        <f ca="1">IFERROR(__xludf.DUMMYFUNCTION("""COMPUTED_VALUE"""),20)</f>
        <v>20</v>
      </c>
      <c r="S33" s="24" t="str">
        <f ca="1">IFERROR(__xludf.DUMMYFUNCTION("""COMPUTED_VALUE"""),"Gluttony")</f>
        <v>Gluttony</v>
      </c>
      <c r="T33" s="24" t="str">
        <f ca="1">IFERROR(__xludf.DUMMYFUNCTION("""COMPUTED_VALUE"""),"Cud Chew")</f>
        <v>Cud Chew</v>
      </c>
      <c r="U33" s="24" t="str">
        <f ca="1">IFERROR(__xludf.DUMMYFUNCTION("""COMPUTED_VALUE"""),"Torrent")</f>
        <v>Torrent</v>
      </c>
      <c r="V33" s="25"/>
      <c r="W33" s="25"/>
      <c r="X33" s="25"/>
      <c r="Y33" s="25" t="str">
        <f ca="1">IFERROR(__xludf.DUMMYFUNCTION("""COMPUTED_VALUE"""),"Acrisia City (wild)")</f>
        <v>Acrisia City (wild)</v>
      </c>
    </row>
    <row r="34" spans="1:25" x14ac:dyDescent="0.25">
      <c r="A34" s="15" t="str">
        <f ca="1">IFERROR(__xludf.DUMMYFUNCTION("""COMPUTED_VALUE"""),"Simipour")</f>
        <v>Simipour</v>
      </c>
      <c r="B34" s="16">
        <f ca="1">IFERROR(__xludf.DUMMYFUNCTION("""COMPUTED_VALUE"""),33)</f>
        <v>33</v>
      </c>
      <c r="C34" s="3" t="str">
        <f ca="1">IFERROR(__xludf.DUMMYFUNCTION("""COMPUTED_VALUE"""),"Water")</f>
        <v>Water</v>
      </c>
      <c r="D34" s="3" t="str">
        <f ca="1">IFERROR(__xludf.DUMMYFUNCTION("""COMPUTED_VALUE"""),"Normal")</f>
        <v>Normal</v>
      </c>
      <c r="E34" s="17">
        <f ca="1">IFERROR(__xludf.DUMMYFUNCTION("""COMPUTED_VALUE"""),75)</f>
        <v>75</v>
      </c>
      <c r="F34" s="17">
        <f ca="1">IFERROR(__xludf.DUMMYFUNCTION("""COMPUTED_VALUE"""),0)</f>
        <v>0</v>
      </c>
      <c r="G34" s="18">
        <f ca="1">IFERROR(__xludf.DUMMYFUNCTION("""COMPUTED_VALUE"""),103)</f>
        <v>103</v>
      </c>
      <c r="H34" s="18">
        <f ca="1">IFERROR(__xludf.DUMMYFUNCTION("""COMPUTED_VALUE"""),5)</f>
        <v>5</v>
      </c>
      <c r="I34" s="19">
        <f ca="1">IFERROR(__xludf.DUMMYFUNCTION("""COMPUTED_VALUE"""),63)</f>
        <v>63</v>
      </c>
      <c r="J34" s="19">
        <f ca="1">IFERROR(__xludf.DUMMYFUNCTION("""COMPUTED_VALUE"""),0)</f>
        <v>0</v>
      </c>
      <c r="K34" s="20">
        <f ca="1">IFERROR(__xludf.DUMMYFUNCTION("""COMPUTED_VALUE"""),103)</f>
        <v>103</v>
      </c>
      <c r="L34" s="20">
        <f ca="1">IFERROR(__xludf.DUMMYFUNCTION("""COMPUTED_VALUE"""),5)</f>
        <v>5</v>
      </c>
      <c r="M34" s="21">
        <f ca="1">IFERROR(__xludf.DUMMYFUNCTION("""COMPUTED_VALUE"""),63)</f>
        <v>63</v>
      </c>
      <c r="N34" s="21">
        <f ca="1">IFERROR(__xludf.DUMMYFUNCTION("""COMPUTED_VALUE"""),0)</f>
        <v>0</v>
      </c>
      <c r="O34" s="22">
        <f ca="1">IFERROR(__xludf.DUMMYFUNCTION("""COMPUTED_VALUE"""),98)</f>
        <v>98</v>
      </c>
      <c r="P34" s="22">
        <f ca="1">IFERROR(__xludf.DUMMYFUNCTION("""COMPUTED_VALUE"""),-3)</f>
        <v>-3</v>
      </c>
      <c r="Q34" s="23">
        <f ca="1">IFERROR(__xludf.DUMMYFUNCTION("""COMPUTED_VALUE"""),505)</f>
        <v>505</v>
      </c>
      <c r="R34" s="23">
        <f ca="1">IFERROR(__xludf.DUMMYFUNCTION("""COMPUTED_VALUE"""),7)</f>
        <v>7</v>
      </c>
      <c r="S34" s="24" t="str">
        <f ca="1">IFERROR(__xludf.DUMMYFUNCTION("""COMPUTED_VALUE"""),"Gluttony")</f>
        <v>Gluttony</v>
      </c>
      <c r="T34" s="24" t="str">
        <f ca="1">IFERROR(__xludf.DUMMYFUNCTION("""COMPUTED_VALUE"""),"Cud Chew")</f>
        <v>Cud Chew</v>
      </c>
      <c r="U34" s="24" t="str">
        <f ca="1">IFERROR(__xludf.DUMMYFUNCTION("""COMPUTED_VALUE"""),"Torrent")</f>
        <v>Torrent</v>
      </c>
      <c r="V34" s="25" t="str">
        <f ca="1">IFERROR(__xludf.DUMMYFUNCTION("""COMPUTED_VALUE"""),"Water Stone")</f>
        <v>Water Stone</v>
      </c>
      <c r="W34" s="25"/>
      <c r="X34" s="25"/>
      <c r="Y34" s="25" t="str">
        <f ca="1">IFERROR(__xludf.DUMMYFUNCTION("""COMPUTED_VALUE"""),"Panpour (evolve)")</f>
        <v>Panpour (evolve)</v>
      </c>
    </row>
    <row r="35" spans="1:25" x14ac:dyDescent="0.25">
      <c r="A35" s="15" t="str">
        <f ca="1">IFERROR(__xludf.DUMMYFUNCTION("""COMPUTED_VALUE"""),"Lillipup")</f>
        <v>Lillipup</v>
      </c>
      <c r="B35" s="16">
        <f ca="1">IFERROR(__xludf.DUMMYFUNCTION("""COMPUTED_VALUE"""),34)</f>
        <v>34</v>
      </c>
      <c r="C35" s="3" t="str">
        <f ca="1">IFERROR(__xludf.DUMMYFUNCTION("""COMPUTED_VALUE"""),"Normal")</f>
        <v>Normal</v>
      </c>
      <c r="D35" s="3"/>
      <c r="E35" s="17">
        <f ca="1">IFERROR(__xludf.DUMMYFUNCTION("""COMPUTED_VALUE"""),45)</f>
        <v>45</v>
      </c>
      <c r="F35" s="17">
        <f ca="1">IFERROR(__xludf.DUMMYFUNCTION("""COMPUTED_VALUE"""),0)</f>
        <v>0</v>
      </c>
      <c r="G35" s="18">
        <f ca="1">IFERROR(__xludf.DUMMYFUNCTION("""COMPUTED_VALUE"""),60)</f>
        <v>60</v>
      </c>
      <c r="H35" s="18">
        <f ca="1">IFERROR(__xludf.DUMMYFUNCTION("""COMPUTED_VALUE"""),0)</f>
        <v>0</v>
      </c>
      <c r="I35" s="19">
        <f ca="1">IFERROR(__xludf.DUMMYFUNCTION("""COMPUTED_VALUE"""),45)</f>
        <v>45</v>
      </c>
      <c r="J35" s="19">
        <f ca="1">IFERROR(__xludf.DUMMYFUNCTION("""COMPUTED_VALUE"""),0)</f>
        <v>0</v>
      </c>
      <c r="K35" s="20">
        <f ca="1">IFERROR(__xludf.DUMMYFUNCTION("""COMPUTED_VALUE"""),25)</f>
        <v>25</v>
      </c>
      <c r="L35" s="20">
        <f ca="1">IFERROR(__xludf.DUMMYFUNCTION("""COMPUTED_VALUE"""),0)</f>
        <v>0</v>
      </c>
      <c r="M35" s="21">
        <f ca="1">IFERROR(__xludf.DUMMYFUNCTION("""COMPUTED_VALUE"""),45)</f>
        <v>45</v>
      </c>
      <c r="N35" s="21">
        <f ca="1">IFERROR(__xludf.DUMMYFUNCTION("""COMPUTED_VALUE"""),0)</f>
        <v>0</v>
      </c>
      <c r="O35" s="22">
        <f ca="1">IFERROR(__xludf.DUMMYFUNCTION("""COMPUTED_VALUE"""),55)</f>
        <v>55</v>
      </c>
      <c r="P35" s="22">
        <f ca="1">IFERROR(__xludf.DUMMYFUNCTION("""COMPUTED_VALUE"""),0)</f>
        <v>0</v>
      </c>
      <c r="Q35" s="23">
        <f ca="1">IFERROR(__xludf.DUMMYFUNCTION("""COMPUTED_VALUE"""),275)</f>
        <v>275</v>
      </c>
      <c r="R35" s="23">
        <f ca="1">IFERROR(__xludf.DUMMYFUNCTION("""COMPUTED_VALUE"""),0)</f>
        <v>0</v>
      </c>
      <c r="S35" s="24" t="str">
        <f ca="1">IFERROR(__xludf.DUMMYFUNCTION("""COMPUTED_VALUE"""),"Vital Spirit")</f>
        <v>Vital Spirit</v>
      </c>
      <c r="T35" s="24" t="str">
        <f ca="1">IFERROR(__xludf.DUMMYFUNCTION("""COMPUTED_VALUE"""),"Pickup")</f>
        <v>Pickup</v>
      </c>
      <c r="U35" s="24" t="str">
        <f ca="1">IFERROR(__xludf.DUMMYFUNCTION("""COMPUTED_VALUE"""),"Run Away")</f>
        <v>Run Away</v>
      </c>
      <c r="V35" s="25"/>
      <c r="W35" s="25"/>
      <c r="X35" s="25"/>
      <c r="Y35" s="25" t="str">
        <f ca="1">IFERROR(__xludf.DUMMYFUNCTION("""COMPUTED_VALUE"""),"Bronze Fields N, Bronze Fields S, Kalami City (wild)")</f>
        <v>Bronze Fields N, Bronze Fields S, Kalami City (wild)</v>
      </c>
    </row>
    <row r="36" spans="1:25" x14ac:dyDescent="0.25">
      <c r="A36" s="15" t="str">
        <f ca="1">IFERROR(__xludf.DUMMYFUNCTION("""COMPUTED_VALUE"""),"Herdier")</f>
        <v>Herdier</v>
      </c>
      <c r="B36" s="16">
        <f ca="1">IFERROR(__xludf.DUMMYFUNCTION("""COMPUTED_VALUE"""),35)</f>
        <v>35</v>
      </c>
      <c r="C36" s="3" t="str">
        <f ca="1">IFERROR(__xludf.DUMMYFUNCTION("""COMPUTED_VALUE"""),"Normal")</f>
        <v>Normal</v>
      </c>
      <c r="D36" s="3"/>
      <c r="E36" s="17">
        <f ca="1">IFERROR(__xludf.DUMMYFUNCTION("""COMPUTED_VALUE"""),65)</f>
        <v>65</v>
      </c>
      <c r="F36" s="17">
        <f ca="1">IFERROR(__xludf.DUMMYFUNCTION("""COMPUTED_VALUE"""),0)</f>
        <v>0</v>
      </c>
      <c r="G36" s="18">
        <f ca="1">IFERROR(__xludf.DUMMYFUNCTION("""COMPUTED_VALUE"""),80)</f>
        <v>80</v>
      </c>
      <c r="H36" s="18">
        <f ca="1">IFERROR(__xludf.DUMMYFUNCTION("""COMPUTED_VALUE"""),0)</f>
        <v>0</v>
      </c>
      <c r="I36" s="19">
        <f ca="1">IFERROR(__xludf.DUMMYFUNCTION("""COMPUTED_VALUE"""),65)</f>
        <v>65</v>
      </c>
      <c r="J36" s="19">
        <f ca="1">IFERROR(__xludf.DUMMYFUNCTION("""COMPUTED_VALUE"""),0)</f>
        <v>0</v>
      </c>
      <c r="K36" s="20">
        <f ca="1">IFERROR(__xludf.DUMMYFUNCTION("""COMPUTED_VALUE"""),35)</f>
        <v>35</v>
      </c>
      <c r="L36" s="20">
        <f ca="1">IFERROR(__xludf.DUMMYFUNCTION("""COMPUTED_VALUE"""),0)</f>
        <v>0</v>
      </c>
      <c r="M36" s="21">
        <f ca="1">IFERROR(__xludf.DUMMYFUNCTION("""COMPUTED_VALUE"""),65)</f>
        <v>65</v>
      </c>
      <c r="N36" s="21">
        <f ca="1">IFERROR(__xludf.DUMMYFUNCTION("""COMPUTED_VALUE"""),0)</f>
        <v>0</v>
      </c>
      <c r="O36" s="22">
        <f ca="1">IFERROR(__xludf.DUMMYFUNCTION("""COMPUTED_VALUE"""),60)</f>
        <v>60</v>
      </c>
      <c r="P36" s="22">
        <f ca="1">IFERROR(__xludf.DUMMYFUNCTION("""COMPUTED_VALUE"""),0)</f>
        <v>0</v>
      </c>
      <c r="Q36" s="23">
        <f ca="1">IFERROR(__xludf.DUMMYFUNCTION("""COMPUTED_VALUE"""),370)</f>
        <v>370</v>
      </c>
      <c r="R36" s="23">
        <f ca="1">IFERROR(__xludf.DUMMYFUNCTION("""COMPUTED_VALUE"""),0)</f>
        <v>0</v>
      </c>
      <c r="S36" s="24" t="str">
        <f ca="1">IFERROR(__xludf.DUMMYFUNCTION("""COMPUTED_VALUE"""),"Intimidate")</f>
        <v>Intimidate</v>
      </c>
      <c r="T36" s="24" t="str">
        <f ca="1">IFERROR(__xludf.DUMMYFUNCTION("""COMPUTED_VALUE"""),"Sand Rush")</f>
        <v>Sand Rush</v>
      </c>
      <c r="U36" s="24" t="str">
        <f ca="1">IFERROR(__xludf.DUMMYFUNCTION("""COMPUTED_VALUE"""),"Scrappy")</f>
        <v>Scrappy</v>
      </c>
      <c r="V36" s="25" t="str">
        <f ca="1">IFERROR(__xludf.DUMMYFUNCTION("""COMPUTED_VALUE"""),"Lv. 16")</f>
        <v>Lv. 16</v>
      </c>
      <c r="W36" s="25"/>
      <c r="X36" s="25"/>
      <c r="Y36" s="25" t="str">
        <f ca="1">IFERROR(__xludf.DUMMYFUNCTION("""COMPUTED_VALUE"""),"Kalami City (wild)")</f>
        <v>Kalami City (wild)</v>
      </c>
    </row>
    <row r="37" spans="1:25" x14ac:dyDescent="0.25">
      <c r="A37" s="15" t="str">
        <f ca="1">IFERROR(__xludf.DUMMYFUNCTION("""COMPUTED_VALUE"""),"Stoutland")</f>
        <v>Stoutland</v>
      </c>
      <c r="B37" s="16">
        <f ca="1">IFERROR(__xludf.DUMMYFUNCTION("""COMPUTED_VALUE"""),36)</f>
        <v>36</v>
      </c>
      <c r="C37" s="3" t="str">
        <f ca="1">IFERROR(__xludf.DUMMYFUNCTION("""COMPUTED_VALUE"""),"Normal")</f>
        <v>Normal</v>
      </c>
      <c r="D37" s="3"/>
      <c r="E37" s="17">
        <f ca="1">IFERROR(__xludf.DUMMYFUNCTION("""COMPUTED_VALUE"""),105)</f>
        <v>105</v>
      </c>
      <c r="F37" s="17">
        <f ca="1">IFERROR(__xludf.DUMMYFUNCTION("""COMPUTED_VALUE"""),20)</f>
        <v>20</v>
      </c>
      <c r="G37" s="18">
        <f ca="1">IFERROR(__xludf.DUMMYFUNCTION("""COMPUTED_VALUE"""),110)</f>
        <v>110</v>
      </c>
      <c r="H37" s="18">
        <f ca="1">IFERROR(__xludf.DUMMYFUNCTION("""COMPUTED_VALUE"""),0)</f>
        <v>0</v>
      </c>
      <c r="I37" s="19">
        <f ca="1">IFERROR(__xludf.DUMMYFUNCTION("""COMPUTED_VALUE"""),90)</f>
        <v>90</v>
      </c>
      <c r="J37" s="19">
        <f ca="1">IFERROR(__xludf.DUMMYFUNCTION("""COMPUTED_VALUE"""),0)</f>
        <v>0</v>
      </c>
      <c r="K37" s="20">
        <f ca="1">IFERROR(__xludf.DUMMYFUNCTION("""COMPUTED_VALUE"""),45)</f>
        <v>45</v>
      </c>
      <c r="L37" s="20">
        <f ca="1">IFERROR(__xludf.DUMMYFUNCTION("""COMPUTED_VALUE"""),0)</f>
        <v>0</v>
      </c>
      <c r="M37" s="21">
        <f ca="1">IFERROR(__xludf.DUMMYFUNCTION("""COMPUTED_VALUE"""),90)</f>
        <v>90</v>
      </c>
      <c r="N37" s="21">
        <f ca="1">IFERROR(__xludf.DUMMYFUNCTION("""COMPUTED_VALUE"""),0)</f>
        <v>0</v>
      </c>
      <c r="O37" s="22">
        <f ca="1">IFERROR(__xludf.DUMMYFUNCTION("""COMPUTED_VALUE"""),80)</f>
        <v>80</v>
      </c>
      <c r="P37" s="22">
        <f ca="1">IFERROR(__xludf.DUMMYFUNCTION("""COMPUTED_VALUE"""),0)</f>
        <v>0</v>
      </c>
      <c r="Q37" s="23">
        <f ca="1">IFERROR(__xludf.DUMMYFUNCTION("""COMPUTED_VALUE"""),520)</f>
        <v>520</v>
      </c>
      <c r="R37" s="23">
        <f ca="1">IFERROR(__xludf.DUMMYFUNCTION("""COMPUTED_VALUE"""),20)</f>
        <v>20</v>
      </c>
      <c r="S37" s="24" t="str">
        <f ca="1">IFERROR(__xludf.DUMMYFUNCTION("""COMPUTED_VALUE"""),"Intimidate")</f>
        <v>Intimidate</v>
      </c>
      <c r="T37" s="24" t="str">
        <f ca="1">IFERROR(__xludf.DUMMYFUNCTION("""COMPUTED_VALUE"""),"Sand Rush")</f>
        <v>Sand Rush</v>
      </c>
      <c r="U37" s="24" t="str">
        <f ca="1">IFERROR(__xludf.DUMMYFUNCTION("""COMPUTED_VALUE"""),"Scrappy")</f>
        <v>Scrappy</v>
      </c>
      <c r="V37" s="25" t="str">
        <f ca="1">IFERROR(__xludf.DUMMYFUNCTION("""COMPUTED_VALUE"""),"Lv. 32")</f>
        <v>Lv. 32</v>
      </c>
      <c r="W37" s="25"/>
      <c r="X37" s="25"/>
      <c r="Y37" s="25" t="str">
        <f ca="1">IFERROR(__xludf.DUMMYFUNCTION("""COMPUTED_VALUE"""),"Herdier (evolve)")</f>
        <v>Herdier (evolve)</v>
      </c>
    </row>
    <row r="38" spans="1:25" x14ac:dyDescent="0.25">
      <c r="A38" s="15" t="str">
        <f ca="1">IFERROR(__xludf.DUMMYFUNCTION("""COMPUTED_VALUE"""),"Pikipek")</f>
        <v>Pikipek</v>
      </c>
      <c r="B38" s="16">
        <f ca="1">IFERROR(__xludf.DUMMYFUNCTION("""COMPUTED_VALUE"""),37)</f>
        <v>37</v>
      </c>
      <c r="C38" s="3" t="str">
        <f ca="1">IFERROR(__xludf.DUMMYFUNCTION("""COMPUTED_VALUE"""),"Normal")</f>
        <v>Normal</v>
      </c>
      <c r="D38" s="3" t="str">
        <f ca="1">IFERROR(__xludf.DUMMYFUNCTION("""COMPUTED_VALUE"""),"Flying")</f>
        <v>Flying</v>
      </c>
      <c r="E38" s="17">
        <f ca="1">IFERROR(__xludf.DUMMYFUNCTION("""COMPUTED_VALUE"""),35)</f>
        <v>35</v>
      </c>
      <c r="F38" s="17">
        <f ca="1">IFERROR(__xludf.DUMMYFUNCTION("""COMPUTED_VALUE"""),0)</f>
        <v>0</v>
      </c>
      <c r="G38" s="18">
        <f ca="1">IFERROR(__xludf.DUMMYFUNCTION("""COMPUTED_VALUE"""),75)</f>
        <v>75</v>
      </c>
      <c r="H38" s="18">
        <f ca="1">IFERROR(__xludf.DUMMYFUNCTION("""COMPUTED_VALUE"""),0)</f>
        <v>0</v>
      </c>
      <c r="I38" s="19">
        <f ca="1">IFERROR(__xludf.DUMMYFUNCTION("""COMPUTED_VALUE"""),30)</f>
        <v>30</v>
      </c>
      <c r="J38" s="19">
        <f ca="1">IFERROR(__xludf.DUMMYFUNCTION("""COMPUTED_VALUE"""),0)</f>
        <v>0</v>
      </c>
      <c r="K38" s="20">
        <f ca="1">IFERROR(__xludf.DUMMYFUNCTION("""COMPUTED_VALUE"""),30)</f>
        <v>30</v>
      </c>
      <c r="L38" s="20">
        <f ca="1">IFERROR(__xludf.DUMMYFUNCTION("""COMPUTED_VALUE"""),0)</f>
        <v>0</v>
      </c>
      <c r="M38" s="21">
        <f ca="1">IFERROR(__xludf.DUMMYFUNCTION("""COMPUTED_VALUE"""),30)</f>
        <v>30</v>
      </c>
      <c r="N38" s="21">
        <f ca="1">IFERROR(__xludf.DUMMYFUNCTION("""COMPUTED_VALUE"""),0)</f>
        <v>0</v>
      </c>
      <c r="O38" s="22">
        <f ca="1">IFERROR(__xludf.DUMMYFUNCTION("""COMPUTED_VALUE"""),65)</f>
        <v>65</v>
      </c>
      <c r="P38" s="22">
        <f ca="1">IFERROR(__xludf.DUMMYFUNCTION("""COMPUTED_VALUE"""),0)</f>
        <v>0</v>
      </c>
      <c r="Q38" s="23">
        <f ca="1">IFERROR(__xludf.DUMMYFUNCTION("""COMPUTED_VALUE"""),265)</f>
        <v>265</v>
      </c>
      <c r="R38" s="23">
        <f ca="1">IFERROR(__xludf.DUMMYFUNCTION("""COMPUTED_VALUE"""),0)</f>
        <v>0</v>
      </c>
      <c r="S38" s="24" t="str">
        <f ca="1">IFERROR(__xludf.DUMMYFUNCTION("""COMPUTED_VALUE"""),"Keen Eye")</f>
        <v>Keen Eye</v>
      </c>
      <c r="T38" s="24" t="str">
        <f ca="1">IFERROR(__xludf.DUMMYFUNCTION("""COMPUTED_VALUE"""),"Skill Link")</f>
        <v>Skill Link</v>
      </c>
      <c r="U38" s="24" t="str">
        <f ca="1">IFERROR(__xludf.DUMMYFUNCTION("""COMPUTED_VALUE"""),"Pickup")</f>
        <v>Pickup</v>
      </c>
      <c r="V38" s="25"/>
      <c r="W38" s="25"/>
      <c r="X38" s="25" t="str">
        <f ca="1">IFERROR(__xludf.DUMMYFUNCTION("""COMPUTED_VALUE"""),"Oran Berry")</f>
        <v>Oran Berry</v>
      </c>
      <c r="Y38" s="25" t="str">
        <f ca="1">IFERROR(__xludf.DUMMYFUNCTION("""COMPUTED_VALUE"""),"Acrisia City, Bronze Fields N, Bronze Fields S (wild)")</f>
        <v>Acrisia City, Bronze Fields N, Bronze Fields S (wild)</v>
      </c>
    </row>
    <row r="39" spans="1:25" x14ac:dyDescent="0.25">
      <c r="A39" s="15" t="str">
        <f ca="1">IFERROR(__xludf.DUMMYFUNCTION("""COMPUTED_VALUE"""),"Trumbeak")</f>
        <v>Trumbeak</v>
      </c>
      <c r="B39" s="16">
        <f ca="1">IFERROR(__xludf.DUMMYFUNCTION("""COMPUTED_VALUE"""),38)</f>
        <v>38</v>
      </c>
      <c r="C39" s="3" t="str">
        <f ca="1">IFERROR(__xludf.DUMMYFUNCTION("""COMPUTED_VALUE"""),"Normal")</f>
        <v>Normal</v>
      </c>
      <c r="D39" s="3" t="str">
        <f ca="1">IFERROR(__xludf.DUMMYFUNCTION("""COMPUTED_VALUE"""),"Flying")</f>
        <v>Flying</v>
      </c>
      <c r="E39" s="17">
        <f ca="1">IFERROR(__xludf.DUMMYFUNCTION("""COMPUTED_VALUE"""),55)</f>
        <v>55</v>
      </c>
      <c r="F39" s="17">
        <f ca="1">IFERROR(__xludf.DUMMYFUNCTION("""COMPUTED_VALUE"""),0)</f>
        <v>0</v>
      </c>
      <c r="G39" s="18">
        <f ca="1">IFERROR(__xludf.DUMMYFUNCTION("""COMPUTED_VALUE"""),85)</f>
        <v>85</v>
      </c>
      <c r="H39" s="18">
        <f ca="1">IFERROR(__xludf.DUMMYFUNCTION("""COMPUTED_VALUE"""),0)</f>
        <v>0</v>
      </c>
      <c r="I39" s="19">
        <f ca="1">IFERROR(__xludf.DUMMYFUNCTION("""COMPUTED_VALUE"""),50)</f>
        <v>50</v>
      </c>
      <c r="J39" s="19">
        <f ca="1">IFERROR(__xludf.DUMMYFUNCTION("""COMPUTED_VALUE"""),0)</f>
        <v>0</v>
      </c>
      <c r="K39" s="20">
        <f ca="1">IFERROR(__xludf.DUMMYFUNCTION("""COMPUTED_VALUE"""),40)</f>
        <v>40</v>
      </c>
      <c r="L39" s="20">
        <f ca="1">IFERROR(__xludf.DUMMYFUNCTION("""COMPUTED_VALUE"""),0)</f>
        <v>0</v>
      </c>
      <c r="M39" s="21">
        <f ca="1">IFERROR(__xludf.DUMMYFUNCTION("""COMPUTED_VALUE"""),50)</f>
        <v>50</v>
      </c>
      <c r="N39" s="21">
        <f ca="1">IFERROR(__xludf.DUMMYFUNCTION("""COMPUTED_VALUE"""),0)</f>
        <v>0</v>
      </c>
      <c r="O39" s="22">
        <f ca="1">IFERROR(__xludf.DUMMYFUNCTION("""COMPUTED_VALUE"""),75)</f>
        <v>75</v>
      </c>
      <c r="P39" s="22">
        <f ca="1">IFERROR(__xludf.DUMMYFUNCTION("""COMPUTED_VALUE"""),0)</f>
        <v>0</v>
      </c>
      <c r="Q39" s="23">
        <f ca="1">IFERROR(__xludf.DUMMYFUNCTION("""COMPUTED_VALUE"""),355)</f>
        <v>355</v>
      </c>
      <c r="R39" s="23">
        <f ca="1">IFERROR(__xludf.DUMMYFUNCTION("""COMPUTED_VALUE"""),0)</f>
        <v>0</v>
      </c>
      <c r="S39" s="24" t="str">
        <f ca="1">IFERROR(__xludf.DUMMYFUNCTION("""COMPUTED_VALUE"""),"Keen Eye")</f>
        <v>Keen Eye</v>
      </c>
      <c r="T39" s="24" t="str">
        <f ca="1">IFERROR(__xludf.DUMMYFUNCTION("""COMPUTED_VALUE"""),"Skill Link")</f>
        <v>Skill Link</v>
      </c>
      <c r="U39" s="24" t="str">
        <f ca="1">IFERROR(__xludf.DUMMYFUNCTION("""COMPUTED_VALUE"""),"Pickup")</f>
        <v>Pickup</v>
      </c>
      <c r="V39" s="25" t="str">
        <f ca="1">IFERROR(__xludf.DUMMYFUNCTION("""COMPUTED_VALUE"""),"Lv. 14")</f>
        <v>Lv. 14</v>
      </c>
      <c r="W39" s="25"/>
      <c r="X39" s="25" t="str">
        <f ca="1">IFERROR(__xludf.DUMMYFUNCTION("""COMPUTED_VALUE"""),"Sitrus Berry")</f>
        <v>Sitrus Berry</v>
      </c>
      <c r="Y39" s="25" t="str">
        <f ca="1">IFERROR(__xludf.DUMMYFUNCTION("""COMPUTED_VALUE"""),"Sea of Asteri, Kaptara Island (wild)")</f>
        <v>Sea of Asteri, Kaptara Island (wild)</v>
      </c>
    </row>
    <row r="40" spans="1:25" x14ac:dyDescent="0.25">
      <c r="A40" s="15" t="str">
        <f ca="1">IFERROR(__xludf.DUMMYFUNCTION("""COMPUTED_VALUE"""),"Toucannon")</f>
        <v>Toucannon</v>
      </c>
      <c r="B40" s="16">
        <f ca="1">IFERROR(__xludf.DUMMYFUNCTION("""COMPUTED_VALUE"""),39)</f>
        <v>39</v>
      </c>
      <c r="C40" s="3" t="str">
        <f ca="1">IFERROR(__xludf.DUMMYFUNCTION("""COMPUTED_VALUE"""),"Normal")</f>
        <v>Normal</v>
      </c>
      <c r="D40" s="3" t="str">
        <f ca="1">IFERROR(__xludf.DUMMYFUNCTION("""COMPUTED_VALUE"""),"Flying")</f>
        <v>Flying</v>
      </c>
      <c r="E40" s="17">
        <f ca="1">IFERROR(__xludf.DUMMYFUNCTION("""COMPUTED_VALUE"""),80)</f>
        <v>80</v>
      </c>
      <c r="F40" s="17">
        <f ca="1">IFERROR(__xludf.DUMMYFUNCTION("""COMPUTED_VALUE"""),0)</f>
        <v>0</v>
      </c>
      <c r="G40" s="18">
        <f ca="1">IFERROR(__xludf.DUMMYFUNCTION("""COMPUTED_VALUE"""),120)</f>
        <v>120</v>
      </c>
      <c r="H40" s="18">
        <f ca="1">IFERROR(__xludf.DUMMYFUNCTION("""COMPUTED_VALUE"""),0)</f>
        <v>0</v>
      </c>
      <c r="I40" s="19">
        <f ca="1">IFERROR(__xludf.DUMMYFUNCTION("""COMPUTED_VALUE"""),75)</f>
        <v>75</v>
      </c>
      <c r="J40" s="19">
        <f ca="1">IFERROR(__xludf.DUMMYFUNCTION("""COMPUTED_VALUE"""),0)</f>
        <v>0</v>
      </c>
      <c r="K40" s="20">
        <f ca="1">IFERROR(__xludf.DUMMYFUNCTION("""COMPUTED_VALUE"""),75)</f>
        <v>75</v>
      </c>
      <c r="L40" s="20">
        <f ca="1">IFERROR(__xludf.DUMMYFUNCTION("""COMPUTED_VALUE"""),0)</f>
        <v>0</v>
      </c>
      <c r="M40" s="21">
        <f ca="1">IFERROR(__xludf.DUMMYFUNCTION("""COMPUTED_VALUE"""),75)</f>
        <v>75</v>
      </c>
      <c r="N40" s="21">
        <f ca="1">IFERROR(__xludf.DUMMYFUNCTION("""COMPUTED_VALUE"""),0)</f>
        <v>0</v>
      </c>
      <c r="O40" s="22">
        <f ca="1">IFERROR(__xludf.DUMMYFUNCTION("""COMPUTED_VALUE"""),60)</f>
        <v>60</v>
      </c>
      <c r="P40" s="22">
        <f ca="1">IFERROR(__xludf.DUMMYFUNCTION("""COMPUTED_VALUE"""),0)</f>
        <v>0</v>
      </c>
      <c r="Q40" s="23">
        <f ca="1">IFERROR(__xludf.DUMMYFUNCTION("""COMPUTED_VALUE"""),485)</f>
        <v>485</v>
      </c>
      <c r="R40" s="23">
        <f ca="1">IFERROR(__xludf.DUMMYFUNCTION("""COMPUTED_VALUE"""),0)</f>
        <v>0</v>
      </c>
      <c r="S40" s="24" t="str">
        <f ca="1">IFERROR(__xludf.DUMMYFUNCTION("""COMPUTED_VALUE"""),"Keen Eye")</f>
        <v>Keen Eye</v>
      </c>
      <c r="T40" s="24" t="str">
        <f ca="1">IFERROR(__xludf.DUMMYFUNCTION("""COMPUTED_VALUE"""),"Skill Link")</f>
        <v>Skill Link</v>
      </c>
      <c r="U40" s="24" t="str">
        <f ca="1">IFERROR(__xludf.DUMMYFUNCTION("""COMPUTED_VALUE"""),"Sheer Force")</f>
        <v>Sheer Force</v>
      </c>
      <c r="V40" s="25" t="str">
        <f ca="1">IFERROR(__xludf.DUMMYFUNCTION("""COMPUTED_VALUE"""),"Lv. 30")</f>
        <v>Lv. 30</v>
      </c>
      <c r="W40" s="25"/>
      <c r="X40" s="25" t="str">
        <f ca="1">IFERROR(__xludf.DUMMYFUNCTION("""COMPUTED_VALUE"""),"Rawst Berry")</f>
        <v>Rawst Berry</v>
      </c>
      <c r="Y40" s="25" t="str">
        <f ca="1">IFERROR(__xludf.DUMMYFUNCTION("""COMPUTED_VALUE"""),"Trumbeak (evolve)")</f>
        <v>Trumbeak (evolve)</v>
      </c>
    </row>
    <row r="41" spans="1:25" x14ac:dyDescent="0.25">
      <c r="A41" s="15" t="str">
        <f ca="1">IFERROR(__xludf.DUMMYFUNCTION("""COMPUTED_VALUE"""),"Ducklett")</f>
        <v>Ducklett</v>
      </c>
      <c r="B41" s="16">
        <f ca="1">IFERROR(__xludf.DUMMYFUNCTION("""COMPUTED_VALUE"""),40)</f>
        <v>40</v>
      </c>
      <c r="C41" s="3" t="str">
        <f ca="1">IFERROR(__xludf.DUMMYFUNCTION("""COMPUTED_VALUE"""),"Water")</f>
        <v>Water</v>
      </c>
      <c r="D41" s="3" t="str">
        <f ca="1">IFERROR(__xludf.DUMMYFUNCTION("""COMPUTED_VALUE"""),"Flying")</f>
        <v>Flying</v>
      </c>
      <c r="E41" s="17">
        <f ca="1">IFERROR(__xludf.DUMMYFUNCTION("""COMPUTED_VALUE"""),62)</f>
        <v>62</v>
      </c>
      <c r="F41" s="17">
        <f ca="1">IFERROR(__xludf.DUMMYFUNCTION("""COMPUTED_VALUE"""),0)</f>
        <v>0</v>
      </c>
      <c r="G41" s="18">
        <f ca="1">IFERROR(__xludf.DUMMYFUNCTION("""COMPUTED_VALUE"""),44)</f>
        <v>44</v>
      </c>
      <c r="H41" s="18">
        <f ca="1">IFERROR(__xludf.DUMMYFUNCTION("""COMPUTED_VALUE"""),0)</f>
        <v>0</v>
      </c>
      <c r="I41" s="19">
        <f ca="1">IFERROR(__xludf.DUMMYFUNCTION("""COMPUTED_VALUE"""),50)</f>
        <v>50</v>
      </c>
      <c r="J41" s="19">
        <f ca="1">IFERROR(__xludf.DUMMYFUNCTION("""COMPUTED_VALUE"""),0)</f>
        <v>0</v>
      </c>
      <c r="K41" s="20">
        <f ca="1">IFERROR(__xludf.DUMMYFUNCTION("""COMPUTED_VALUE"""),44)</f>
        <v>44</v>
      </c>
      <c r="L41" s="20">
        <f ca="1">IFERROR(__xludf.DUMMYFUNCTION("""COMPUTED_VALUE"""),0)</f>
        <v>0</v>
      </c>
      <c r="M41" s="21">
        <f ca="1">IFERROR(__xludf.DUMMYFUNCTION("""COMPUTED_VALUE"""),50)</f>
        <v>50</v>
      </c>
      <c r="N41" s="21">
        <f ca="1">IFERROR(__xludf.DUMMYFUNCTION("""COMPUTED_VALUE"""),0)</f>
        <v>0</v>
      </c>
      <c r="O41" s="22">
        <f ca="1">IFERROR(__xludf.DUMMYFUNCTION("""COMPUTED_VALUE"""),55)</f>
        <v>55</v>
      </c>
      <c r="P41" s="22">
        <f ca="1">IFERROR(__xludf.DUMMYFUNCTION("""COMPUTED_VALUE"""),0)</f>
        <v>0</v>
      </c>
      <c r="Q41" s="23">
        <f ca="1">IFERROR(__xludf.DUMMYFUNCTION("""COMPUTED_VALUE"""),305)</f>
        <v>305</v>
      </c>
      <c r="R41" s="23">
        <f ca="1">IFERROR(__xludf.DUMMYFUNCTION("""COMPUTED_VALUE"""),0)</f>
        <v>0</v>
      </c>
      <c r="S41" s="24" t="str">
        <f ca="1">IFERROR(__xludf.DUMMYFUNCTION("""COMPUTED_VALUE"""),"Keen Eye")</f>
        <v>Keen Eye</v>
      </c>
      <c r="T41" s="24" t="str">
        <f ca="1">IFERROR(__xludf.DUMMYFUNCTION("""COMPUTED_VALUE"""),"Big Pecks")</f>
        <v>Big Pecks</v>
      </c>
      <c r="U41" s="24" t="str">
        <f ca="1">IFERROR(__xludf.DUMMYFUNCTION("""COMPUTED_VALUE"""),"Drizzle")</f>
        <v>Drizzle</v>
      </c>
      <c r="V41" s="25"/>
      <c r="W41" s="25"/>
      <c r="X41" s="25"/>
      <c r="Y41" s="25" t="str">
        <f ca="1">IFERROR(__xludf.DUMMYFUNCTION("""COMPUTED_VALUE"""),"Acrisia City, Bronze Fields N, Wanderer`s Woods (wild)")</f>
        <v>Acrisia City, Bronze Fields N, Wanderer`s Woods (wild)</v>
      </c>
    </row>
    <row r="42" spans="1:25" x14ac:dyDescent="0.25">
      <c r="A42" s="15" t="str">
        <f ca="1">IFERROR(__xludf.DUMMYFUNCTION("""COMPUTED_VALUE"""),"Swanna")</f>
        <v>Swanna</v>
      </c>
      <c r="B42" s="16">
        <f ca="1">IFERROR(__xludf.DUMMYFUNCTION("""COMPUTED_VALUE"""),41)</f>
        <v>41</v>
      </c>
      <c r="C42" s="3" t="str">
        <f ca="1">IFERROR(__xludf.DUMMYFUNCTION("""COMPUTED_VALUE"""),"Water")</f>
        <v>Water</v>
      </c>
      <c r="D42" s="3" t="str">
        <f ca="1">IFERROR(__xludf.DUMMYFUNCTION("""COMPUTED_VALUE"""),"Flying")</f>
        <v>Flying</v>
      </c>
      <c r="E42" s="17">
        <f ca="1">IFERROR(__xludf.DUMMYFUNCTION("""COMPUTED_VALUE"""),85)</f>
        <v>85</v>
      </c>
      <c r="F42" s="17">
        <f ca="1">IFERROR(__xludf.DUMMYFUNCTION("""COMPUTED_VALUE"""),10)</f>
        <v>10</v>
      </c>
      <c r="G42" s="18">
        <f ca="1">IFERROR(__xludf.DUMMYFUNCTION("""COMPUTED_VALUE"""),92)</f>
        <v>92</v>
      </c>
      <c r="H42" s="18">
        <f ca="1">IFERROR(__xludf.DUMMYFUNCTION("""COMPUTED_VALUE"""),5)</f>
        <v>5</v>
      </c>
      <c r="I42" s="19">
        <f ca="1">IFERROR(__xludf.DUMMYFUNCTION("""COMPUTED_VALUE"""),63)</f>
        <v>63</v>
      </c>
      <c r="J42" s="19">
        <f ca="1">IFERROR(__xludf.DUMMYFUNCTION("""COMPUTED_VALUE"""),0)</f>
        <v>0</v>
      </c>
      <c r="K42" s="20">
        <f ca="1">IFERROR(__xludf.DUMMYFUNCTION("""COMPUTED_VALUE"""),92)</f>
        <v>92</v>
      </c>
      <c r="L42" s="20">
        <f ca="1">IFERROR(__xludf.DUMMYFUNCTION("""COMPUTED_VALUE"""),5)</f>
        <v>5</v>
      </c>
      <c r="M42" s="21">
        <f ca="1">IFERROR(__xludf.DUMMYFUNCTION("""COMPUTED_VALUE"""),63)</f>
        <v>63</v>
      </c>
      <c r="N42" s="21">
        <f ca="1">IFERROR(__xludf.DUMMYFUNCTION("""COMPUTED_VALUE"""),0)</f>
        <v>0</v>
      </c>
      <c r="O42" s="22">
        <f ca="1">IFERROR(__xludf.DUMMYFUNCTION("""COMPUTED_VALUE"""),98)</f>
        <v>98</v>
      </c>
      <c r="P42" s="22">
        <f ca="1">IFERROR(__xludf.DUMMYFUNCTION("""COMPUTED_VALUE"""),0)</f>
        <v>0</v>
      </c>
      <c r="Q42" s="23">
        <f ca="1">IFERROR(__xludf.DUMMYFUNCTION("""COMPUTED_VALUE"""),493)</f>
        <v>493</v>
      </c>
      <c r="R42" s="23">
        <f ca="1">IFERROR(__xludf.DUMMYFUNCTION("""COMPUTED_VALUE"""),20)</f>
        <v>20</v>
      </c>
      <c r="S42" s="24" t="str">
        <f ca="1">IFERROR(__xludf.DUMMYFUNCTION("""COMPUTED_VALUE"""),"Intimidate")</f>
        <v>Intimidate</v>
      </c>
      <c r="T42" s="24" t="str">
        <f ca="1">IFERROR(__xludf.DUMMYFUNCTION("""COMPUTED_VALUE"""),"Big Pecks")</f>
        <v>Big Pecks</v>
      </c>
      <c r="U42" s="24" t="str">
        <f ca="1">IFERROR(__xludf.DUMMYFUNCTION("""COMPUTED_VALUE"""),"Drizzle")</f>
        <v>Drizzle</v>
      </c>
      <c r="V42" s="25" t="str">
        <f ca="1">IFERROR(__xludf.DUMMYFUNCTION("""COMPUTED_VALUE"""),"Lv. 31")</f>
        <v>Lv. 31</v>
      </c>
      <c r="W42" s="25"/>
      <c r="X42" s="25"/>
      <c r="Y42" s="25" t="str">
        <f ca="1">IFERROR(__xludf.DUMMYFUNCTION("""COMPUTED_VALUE"""),"Ducklett (evolve)")</f>
        <v>Ducklett (evolve)</v>
      </c>
    </row>
    <row r="43" spans="1:25" x14ac:dyDescent="0.25">
      <c r="A43" s="15" t="str">
        <f ca="1">IFERROR(__xludf.DUMMYFUNCTION("""COMPUTED_VALUE"""),"Hoppip")</f>
        <v>Hoppip</v>
      </c>
      <c r="B43" s="16">
        <f ca="1">IFERROR(__xludf.DUMMYFUNCTION("""COMPUTED_VALUE"""),42)</f>
        <v>42</v>
      </c>
      <c r="C43" s="3" t="str">
        <f ca="1">IFERROR(__xludf.DUMMYFUNCTION("""COMPUTED_VALUE"""),"Grass")</f>
        <v>Grass</v>
      </c>
      <c r="D43" s="3" t="str">
        <f ca="1">IFERROR(__xludf.DUMMYFUNCTION("""COMPUTED_VALUE"""),"Flying")</f>
        <v>Flying</v>
      </c>
      <c r="E43" s="17">
        <f ca="1">IFERROR(__xludf.DUMMYFUNCTION("""COMPUTED_VALUE"""),35)</f>
        <v>35</v>
      </c>
      <c r="F43" s="17">
        <f ca="1">IFERROR(__xludf.DUMMYFUNCTION("""COMPUTED_VALUE"""),0)</f>
        <v>0</v>
      </c>
      <c r="G43" s="18">
        <f ca="1">IFERROR(__xludf.DUMMYFUNCTION("""COMPUTED_VALUE"""),35)</f>
        <v>35</v>
      </c>
      <c r="H43" s="18">
        <f ca="1">IFERROR(__xludf.DUMMYFUNCTION("""COMPUTED_VALUE"""),0)</f>
        <v>0</v>
      </c>
      <c r="I43" s="19">
        <f ca="1">IFERROR(__xludf.DUMMYFUNCTION("""COMPUTED_VALUE"""),40)</f>
        <v>40</v>
      </c>
      <c r="J43" s="19">
        <f ca="1">IFERROR(__xludf.DUMMYFUNCTION("""COMPUTED_VALUE"""),0)</f>
        <v>0</v>
      </c>
      <c r="K43" s="20">
        <f ca="1">IFERROR(__xludf.DUMMYFUNCTION("""COMPUTED_VALUE"""),35)</f>
        <v>35</v>
      </c>
      <c r="L43" s="20">
        <f ca="1">IFERROR(__xludf.DUMMYFUNCTION("""COMPUTED_VALUE"""),0)</f>
        <v>0</v>
      </c>
      <c r="M43" s="21">
        <f ca="1">IFERROR(__xludf.DUMMYFUNCTION("""COMPUTED_VALUE"""),55)</f>
        <v>55</v>
      </c>
      <c r="N43" s="21">
        <f ca="1">IFERROR(__xludf.DUMMYFUNCTION("""COMPUTED_VALUE"""),0)</f>
        <v>0</v>
      </c>
      <c r="O43" s="22">
        <f ca="1">IFERROR(__xludf.DUMMYFUNCTION("""COMPUTED_VALUE"""),50)</f>
        <v>50</v>
      </c>
      <c r="P43" s="22">
        <f ca="1">IFERROR(__xludf.DUMMYFUNCTION("""COMPUTED_VALUE"""),0)</f>
        <v>0</v>
      </c>
      <c r="Q43" s="23">
        <f ca="1">IFERROR(__xludf.DUMMYFUNCTION("""COMPUTED_VALUE"""),250)</f>
        <v>250</v>
      </c>
      <c r="R43" s="23">
        <f ca="1">IFERROR(__xludf.DUMMYFUNCTION("""COMPUTED_VALUE"""),0)</f>
        <v>0</v>
      </c>
      <c r="S43" s="24" t="str">
        <f ca="1">IFERROR(__xludf.DUMMYFUNCTION("""COMPUTED_VALUE"""),"Chlorophyll")</f>
        <v>Chlorophyll</v>
      </c>
      <c r="T43" s="24" t="str">
        <f ca="1">IFERROR(__xludf.DUMMYFUNCTION("""COMPUTED_VALUE"""),"Leaf Guard")</f>
        <v>Leaf Guard</v>
      </c>
      <c r="U43" s="24" t="str">
        <f ca="1">IFERROR(__xludf.DUMMYFUNCTION("""COMPUTED_VALUE"""),"Hospitality")</f>
        <v>Hospitality</v>
      </c>
      <c r="V43" s="25"/>
      <c r="W43" s="25"/>
      <c r="X43" s="25"/>
      <c r="Y43" s="25" t="str">
        <f ca="1">IFERROR(__xludf.DUMMYFUNCTION("""COMPUTED_VALUE"""),"Bronze Fields N, Bronze Fields S (wild)")</f>
        <v>Bronze Fields N, Bronze Fields S (wild)</v>
      </c>
    </row>
    <row r="44" spans="1:25" x14ac:dyDescent="0.25">
      <c r="A44" s="15" t="str">
        <f ca="1">IFERROR(__xludf.DUMMYFUNCTION("""COMPUTED_VALUE"""),"Skiploom")</f>
        <v>Skiploom</v>
      </c>
      <c r="B44" s="16">
        <f ca="1">IFERROR(__xludf.DUMMYFUNCTION("""COMPUTED_VALUE"""),43)</f>
        <v>43</v>
      </c>
      <c r="C44" s="3" t="str">
        <f ca="1">IFERROR(__xludf.DUMMYFUNCTION("""COMPUTED_VALUE"""),"Grass")</f>
        <v>Grass</v>
      </c>
      <c r="D44" s="3" t="str">
        <f ca="1">IFERROR(__xludf.DUMMYFUNCTION("""COMPUTED_VALUE"""),"Flying")</f>
        <v>Flying</v>
      </c>
      <c r="E44" s="17">
        <f ca="1">IFERROR(__xludf.DUMMYFUNCTION("""COMPUTED_VALUE"""),65)</f>
        <v>65</v>
      </c>
      <c r="F44" s="17">
        <f ca="1">IFERROR(__xludf.DUMMYFUNCTION("""COMPUTED_VALUE"""),10)</f>
        <v>10</v>
      </c>
      <c r="G44" s="18">
        <f ca="1">IFERROR(__xludf.DUMMYFUNCTION("""COMPUTED_VALUE"""),45)</f>
        <v>45</v>
      </c>
      <c r="H44" s="18">
        <f ca="1">IFERROR(__xludf.DUMMYFUNCTION("""COMPUTED_VALUE"""),0)</f>
        <v>0</v>
      </c>
      <c r="I44" s="19">
        <f ca="1">IFERROR(__xludf.DUMMYFUNCTION("""COMPUTED_VALUE"""),50)</f>
        <v>50</v>
      </c>
      <c r="J44" s="19">
        <f ca="1">IFERROR(__xludf.DUMMYFUNCTION("""COMPUTED_VALUE"""),0)</f>
        <v>0</v>
      </c>
      <c r="K44" s="20">
        <f ca="1">IFERROR(__xludf.DUMMYFUNCTION("""COMPUTED_VALUE"""),45)</f>
        <v>45</v>
      </c>
      <c r="L44" s="20">
        <f ca="1">IFERROR(__xludf.DUMMYFUNCTION("""COMPUTED_VALUE"""),0)</f>
        <v>0</v>
      </c>
      <c r="M44" s="21">
        <f ca="1">IFERROR(__xludf.DUMMYFUNCTION("""COMPUTED_VALUE"""),65)</f>
        <v>65</v>
      </c>
      <c r="N44" s="21">
        <f ca="1">IFERROR(__xludf.DUMMYFUNCTION("""COMPUTED_VALUE"""),0)</f>
        <v>0</v>
      </c>
      <c r="O44" s="22">
        <f ca="1">IFERROR(__xludf.DUMMYFUNCTION("""COMPUTED_VALUE"""),80)</f>
        <v>80</v>
      </c>
      <c r="P44" s="22">
        <f ca="1">IFERROR(__xludf.DUMMYFUNCTION("""COMPUTED_VALUE"""),0)</f>
        <v>0</v>
      </c>
      <c r="Q44" s="23">
        <f ca="1">IFERROR(__xludf.DUMMYFUNCTION("""COMPUTED_VALUE"""),350)</f>
        <v>350</v>
      </c>
      <c r="R44" s="23">
        <f ca="1">IFERROR(__xludf.DUMMYFUNCTION("""COMPUTED_VALUE"""),10)</f>
        <v>10</v>
      </c>
      <c r="S44" s="24" t="str">
        <f ca="1">IFERROR(__xludf.DUMMYFUNCTION("""COMPUTED_VALUE"""),"Chlorophyll")</f>
        <v>Chlorophyll</v>
      </c>
      <c r="T44" s="24" t="str">
        <f ca="1">IFERROR(__xludf.DUMMYFUNCTION("""COMPUTED_VALUE"""),"Leaf Guard")</f>
        <v>Leaf Guard</v>
      </c>
      <c r="U44" s="24" t="str">
        <f ca="1">IFERROR(__xludf.DUMMYFUNCTION("""COMPUTED_VALUE"""),"Hospitality")</f>
        <v>Hospitality</v>
      </c>
      <c r="V44" s="25" t="str">
        <f ca="1">IFERROR(__xludf.DUMMYFUNCTION("""COMPUTED_VALUE"""),"Lv. 18")</f>
        <v>Lv. 18</v>
      </c>
      <c r="W44" s="25"/>
      <c r="X44" s="25"/>
      <c r="Y44" s="25" t="str">
        <f ca="1">IFERROR(__xludf.DUMMYFUNCTION("""COMPUTED_VALUE"""),"Kaptara Island (wild)")</f>
        <v>Kaptara Island (wild)</v>
      </c>
    </row>
    <row r="45" spans="1:25" x14ac:dyDescent="0.25">
      <c r="A45" s="15" t="str">
        <f ca="1">IFERROR(__xludf.DUMMYFUNCTION("""COMPUTED_VALUE"""),"Jumpluff")</f>
        <v>Jumpluff</v>
      </c>
      <c r="B45" s="16">
        <f ca="1">IFERROR(__xludf.DUMMYFUNCTION("""COMPUTED_VALUE"""),44)</f>
        <v>44</v>
      </c>
      <c r="C45" s="3" t="str">
        <f ca="1">IFERROR(__xludf.DUMMYFUNCTION("""COMPUTED_VALUE"""),"Grass")</f>
        <v>Grass</v>
      </c>
      <c r="D45" s="3" t="str">
        <f ca="1">IFERROR(__xludf.DUMMYFUNCTION("""COMPUTED_VALUE"""),"Flying")</f>
        <v>Flying</v>
      </c>
      <c r="E45" s="17">
        <f ca="1">IFERROR(__xludf.DUMMYFUNCTION("""COMPUTED_VALUE"""),85)</f>
        <v>85</v>
      </c>
      <c r="F45" s="17">
        <f ca="1">IFERROR(__xludf.DUMMYFUNCTION("""COMPUTED_VALUE"""),10)</f>
        <v>10</v>
      </c>
      <c r="G45" s="18">
        <f ca="1">IFERROR(__xludf.DUMMYFUNCTION("""COMPUTED_VALUE"""),55)</f>
        <v>55</v>
      </c>
      <c r="H45" s="18">
        <f ca="1">IFERROR(__xludf.DUMMYFUNCTION("""COMPUTED_VALUE"""),0)</f>
        <v>0</v>
      </c>
      <c r="I45" s="19">
        <f ca="1">IFERROR(__xludf.DUMMYFUNCTION("""COMPUTED_VALUE"""),85)</f>
        <v>85</v>
      </c>
      <c r="J45" s="19">
        <f ca="1">IFERROR(__xludf.DUMMYFUNCTION("""COMPUTED_VALUE"""),15)</f>
        <v>15</v>
      </c>
      <c r="K45" s="20">
        <f ca="1">IFERROR(__xludf.DUMMYFUNCTION("""COMPUTED_VALUE"""),55)</f>
        <v>55</v>
      </c>
      <c r="L45" s="20">
        <f ca="1">IFERROR(__xludf.DUMMYFUNCTION("""COMPUTED_VALUE"""),0)</f>
        <v>0</v>
      </c>
      <c r="M45" s="21">
        <f ca="1">IFERROR(__xludf.DUMMYFUNCTION("""COMPUTED_VALUE"""),100)</f>
        <v>100</v>
      </c>
      <c r="N45" s="21">
        <f ca="1">IFERROR(__xludf.DUMMYFUNCTION("""COMPUTED_VALUE"""),5)</f>
        <v>5</v>
      </c>
      <c r="O45" s="22">
        <f ca="1">IFERROR(__xludf.DUMMYFUNCTION("""COMPUTED_VALUE"""),100)</f>
        <v>100</v>
      </c>
      <c r="P45" s="22">
        <f ca="1">IFERROR(__xludf.DUMMYFUNCTION("""COMPUTED_VALUE"""),-10)</f>
        <v>-10</v>
      </c>
      <c r="Q45" s="23">
        <f ca="1">IFERROR(__xludf.DUMMYFUNCTION("""COMPUTED_VALUE"""),480)</f>
        <v>480</v>
      </c>
      <c r="R45" s="23">
        <f ca="1">IFERROR(__xludf.DUMMYFUNCTION("""COMPUTED_VALUE"""),20)</f>
        <v>20</v>
      </c>
      <c r="S45" s="24" t="str">
        <f ca="1">IFERROR(__xludf.DUMMYFUNCTION("""COMPUTED_VALUE"""),"Chlorophyll")</f>
        <v>Chlorophyll</v>
      </c>
      <c r="T45" s="24" t="str">
        <f ca="1">IFERROR(__xludf.DUMMYFUNCTION("""COMPUTED_VALUE"""),"Leaf Guard")</f>
        <v>Leaf Guard</v>
      </c>
      <c r="U45" s="24" t="str">
        <f ca="1">IFERROR(__xludf.DUMMYFUNCTION("""COMPUTED_VALUE"""),"Hospitality")</f>
        <v>Hospitality</v>
      </c>
      <c r="V45" s="25" t="str">
        <f ca="1">IFERROR(__xludf.DUMMYFUNCTION("""COMPUTED_VALUE"""),"Lv. 27")</f>
        <v>Lv. 27</v>
      </c>
      <c r="W45" s="25"/>
      <c r="X45" s="25"/>
      <c r="Y45" s="25" t="str">
        <f ca="1">IFERROR(__xludf.DUMMYFUNCTION("""COMPUTED_VALUE"""),"Skiploom (evolve)")</f>
        <v>Skiploom (evolve)</v>
      </c>
    </row>
    <row r="46" spans="1:25" x14ac:dyDescent="0.25">
      <c r="A46" s="15" t="str">
        <f ca="1">IFERROR(__xludf.DUMMYFUNCTION("""COMPUTED_VALUE"""),"Nincada")</f>
        <v>Nincada</v>
      </c>
      <c r="B46" s="16">
        <f ca="1">IFERROR(__xludf.DUMMYFUNCTION("""COMPUTED_VALUE"""),45)</f>
        <v>45</v>
      </c>
      <c r="C46" s="3" t="str">
        <f ca="1">IFERROR(__xludf.DUMMYFUNCTION("""COMPUTED_VALUE"""),"Bug")</f>
        <v>Bug</v>
      </c>
      <c r="D46" s="3" t="str">
        <f ca="1">IFERROR(__xludf.DUMMYFUNCTION("""COMPUTED_VALUE"""),"Ground")</f>
        <v>Ground</v>
      </c>
      <c r="E46" s="17">
        <f ca="1">IFERROR(__xludf.DUMMYFUNCTION("""COMPUTED_VALUE"""),31)</f>
        <v>31</v>
      </c>
      <c r="F46" s="17">
        <f ca="1">IFERROR(__xludf.DUMMYFUNCTION("""COMPUTED_VALUE"""),0)</f>
        <v>0</v>
      </c>
      <c r="G46" s="18">
        <f ca="1">IFERROR(__xludf.DUMMYFUNCTION("""COMPUTED_VALUE"""),45)</f>
        <v>45</v>
      </c>
      <c r="H46" s="18">
        <f ca="1">IFERROR(__xludf.DUMMYFUNCTION("""COMPUTED_VALUE"""),0)</f>
        <v>0</v>
      </c>
      <c r="I46" s="19">
        <f ca="1">IFERROR(__xludf.DUMMYFUNCTION("""COMPUTED_VALUE"""),90)</f>
        <v>90</v>
      </c>
      <c r="J46" s="19">
        <f ca="1">IFERROR(__xludf.DUMMYFUNCTION("""COMPUTED_VALUE"""),0)</f>
        <v>0</v>
      </c>
      <c r="K46" s="20">
        <f ca="1">IFERROR(__xludf.DUMMYFUNCTION("""COMPUTED_VALUE"""),30)</f>
        <v>30</v>
      </c>
      <c r="L46" s="20">
        <f ca="1">IFERROR(__xludf.DUMMYFUNCTION("""COMPUTED_VALUE"""),0)</f>
        <v>0</v>
      </c>
      <c r="M46" s="21">
        <f ca="1">IFERROR(__xludf.DUMMYFUNCTION("""COMPUTED_VALUE"""),30)</f>
        <v>30</v>
      </c>
      <c r="N46" s="21">
        <f ca="1">IFERROR(__xludf.DUMMYFUNCTION("""COMPUTED_VALUE"""),0)</f>
        <v>0</v>
      </c>
      <c r="O46" s="22">
        <f ca="1">IFERROR(__xludf.DUMMYFUNCTION("""COMPUTED_VALUE"""),40)</f>
        <v>40</v>
      </c>
      <c r="P46" s="22">
        <f ca="1">IFERROR(__xludf.DUMMYFUNCTION("""COMPUTED_VALUE"""),0)</f>
        <v>0</v>
      </c>
      <c r="Q46" s="23">
        <f ca="1">IFERROR(__xludf.DUMMYFUNCTION("""COMPUTED_VALUE"""),266)</f>
        <v>266</v>
      </c>
      <c r="R46" s="23">
        <f ca="1">IFERROR(__xludf.DUMMYFUNCTION("""COMPUTED_VALUE"""),0)</f>
        <v>0</v>
      </c>
      <c r="S46" s="24" t="str">
        <f ca="1">IFERROR(__xludf.DUMMYFUNCTION("""COMPUTED_VALUE"""),"Compound Eyes")</f>
        <v>Compound Eyes</v>
      </c>
      <c r="T46" s="24" t="str">
        <f ca="1">IFERROR(__xludf.DUMMYFUNCTION("""COMPUTED_VALUE"""),"Shed Skin")</f>
        <v>Shed Skin</v>
      </c>
      <c r="U46" s="24" t="str">
        <f ca="1">IFERROR(__xludf.DUMMYFUNCTION("""COMPUTED_VALUE"""),"Run Away")</f>
        <v>Run Away</v>
      </c>
      <c r="V46" s="25"/>
      <c r="W46" s="25"/>
      <c r="X46" s="25" t="str">
        <f ca="1">IFERROR(__xludf.DUMMYFUNCTION("""COMPUTED_VALUE"""),"Soft Sand")</f>
        <v>Soft Sand</v>
      </c>
      <c r="Y46" s="25" t="str">
        <f ca="1">IFERROR(__xludf.DUMMYFUNCTION("""COMPUTED_VALUE"""),"Bronze Fields N, Bronze Fields S (wild)")</f>
        <v>Bronze Fields N, Bronze Fields S (wild)</v>
      </c>
    </row>
    <row r="47" spans="1:25" x14ac:dyDescent="0.25">
      <c r="A47" s="15" t="str">
        <f ca="1">IFERROR(__xludf.DUMMYFUNCTION("""COMPUTED_VALUE"""),"Ninjask")</f>
        <v>Ninjask</v>
      </c>
      <c r="B47" s="16">
        <f ca="1">IFERROR(__xludf.DUMMYFUNCTION("""COMPUTED_VALUE"""),46)</f>
        <v>46</v>
      </c>
      <c r="C47" s="3" t="str">
        <f ca="1">IFERROR(__xludf.DUMMYFUNCTION("""COMPUTED_VALUE"""),"Bug")</f>
        <v>Bug</v>
      </c>
      <c r="D47" s="3" t="str">
        <f ca="1">IFERROR(__xludf.DUMMYFUNCTION("""COMPUTED_VALUE"""),"Dark")</f>
        <v>Dark</v>
      </c>
      <c r="E47" s="17">
        <f ca="1">IFERROR(__xludf.DUMMYFUNCTION("""COMPUTED_VALUE"""),61)</f>
        <v>61</v>
      </c>
      <c r="F47" s="17">
        <f ca="1">IFERROR(__xludf.DUMMYFUNCTION("""COMPUTED_VALUE"""),0)</f>
        <v>0</v>
      </c>
      <c r="G47" s="18">
        <f ca="1">IFERROR(__xludf.DUMMYFUNCTION("""COMPUTED_VALUE"""),90)</f>
        <v>90</v>
      </c>
      <c r="H47" s="18">
        <f ca="1">IFERROR(__xludf.DUMMYFUNCTION("""COMPUTED_VALUE"""),0)</f>
        <v>0</v>
      </c>
      <c r="I47" s="19">
        <f ca="1">IFERROR(__xludf.DUMMYFUNCTION("""COMPUTED_VALUE"""),55)</f>
        <v>55</v>
      </c>
      <c r="J47" s="19">
        <f ca="1">IFERROR(__xludf.DUMMYFUNCTION("""COMPUTED_VALUE"""),10)</f>
        <v>10</v>
      </c>
      <c r="K47" s="20">
        <f ca="1">IFERROR(__xludf.DUMMYFUNCTION("""COMPUTED_VALUE"""),50)</f>
        <v>50</v>
      </c>
      <c r="L47" s="20">
        <f ca="1">IFERROR(__xludf.DUMMYFUNCTION("""COMPUTED_VALUE"""),0)</f>
        <v>0</v>
      </c>
      <c r="M47" s="21">
        <f ca="1">IFERROR(__xludf.DUMMYFUNCTION("""COMPUTED_VALUE"""),50)</f>
        <v>50</v>
      </c>
      <c r="N47" s="21">
        <f ca="1">IFERROR(__xludf.DUMMYFUNCTION("""COMPUTED_VALUE"""),0)</f>
        <v>0</v>
      </c>
      <c r="O47" s="22">
        <f ca="1">IFERROR(__xludf.DUMMYFUNCTION("""COMPUTED_VALUE"""),160)</f>
        <v>160</v>
      </c>
      <c r="P47" s="22">
        <f ca="1">IFERROR(__xludf.DUMMYFUNCTION("""COMPUTED_VALUE"""),0)</f>
        <v>0</v>
      </c>
      <c r="Q47" s="23">
        <f ca="1">IFERROR(__xludf.DUMMYFUNCTION("""COMPUTED_VALUE"""),466)</f>
        <v>466</v>
      </c>
      <c r="R47" s="23">
        <f ca="1">IFERROR(__xludf.DUMMYFUNCTION("""COMPUTED_VALUE"""),10)</f>
        <v>10</v>
      </c>
      <c r="S47" s="24" t="str">
        <f ca="1">IFERROR(__xludf.DUMMYFUNCTION("""COMPUTED_VALUE"""),"Speed Boost")</f>
        <v>Speed Boost</v>
      </c>
      <c r="T47" s="24" t="str">
        <f ca="1">IFERROR(__xludf.DUMMYFUNCTION("""COMPUTED_VALUE"""),"Sharpness")</f>
        <v>Sharpness</v>
      </c>
      <c r="U47" s="24" t="str">
        <f ca="1">IFERROR(__xludf.DUMMYFUNCTION("""COMPUTED_VALUE"""),"Infiltrator")</f>
        <v>Infiltrator</v>
      </c>
      <c r="V47" s="25" t="str">
        <f ca="1">IFERROR(__xludf.DUMMYFUNCTION("""COMPUTED_VALUE"""),"Lv. 20")</f>
        <v>Lv. 20</v>
      </c>
      <c r="W47" s="25"/>
      <c r="X47" s="25"/>
      <c r="Y47" s="25" t="str">
        <f ca="1">IFERROR(__xludf.DUMMYFUNCTION("""COMPUTED_VALUE"""),"Sea of Asteri (wild)")</f>
        <v>Sea of Asteri (wild)</v>
      </c>
    </row>
    <row r="48" spans="1:25" x14ac:dyDescent="0.25">
      <c r="A48" s="15" t="str">
        <f ca="1">IFERROR(__xludf.DUMMYFUNCTION("""COMPUTED_VALUE"""),"Shedinja")</f>
        <v>Shedinja</v>
      </c>
      <c r="B48" s="16">
        <f ca="1">IFERROR(__xludf.DUMMYFUNCTION("""COMPUTED_VALUE"""),47)</f>
        <v>47</v>
      </c>
      <c r="C48" s="3" t="str">
        <f ca="1">IFERROR(__xludf.DUMMYFUNCTION("""COMPUTED_VALUE"""),"Bug")</f>
        <v>Bug</v>
      </c>
      <c r="D48" s="3" t="str">
        <f ca="1">IFERROR(__xludf.DUMMYFUNCTION("""COMPUTED_VALUE"""),"Ghost")</f>
        <v>Ghost</v>
      </c>
      <c r="E48" s="17">
        <f ca="1">IFERROR(__xludf.DUMMYFUNCTION("""COMPUTED_VALUE"""),1)</f>
        <v>1</v>
      </c>
      <c r="F48" s="17">
        <f ca="1">IFERROR(__xludf.DUMMYFUNCTION("""COMPUTED_VALUE"""),0)</f>
        <v>0</v>
      </c>
      <c r="G48" s="18">
        <f ca="1">IFERROR(__xludf.DUMMYFUNCTION("""COMPUTED_VALUE"""),90)</f>
        <v>90</v>
      </c>
      <c r="H48" s="18">
        <f ca="1">IFERROR(__xludf.DUMMYFUNCTION("""COMPUTED_VALUE"""),0)</f>
        <v>0</v>
      </c>
      <c r="I48" s="19">
        <f ca="1">IFERROR(__xludf.DUMMYFUNCTION("""COMPUTED_VALUE"""),45)</f>
        <v>45</v>
      </c>
      <c r="J48" s="19">
        <f ca="1">IFERROR(__xludf.DUMMYFUNCTION("""COMPUTED_VALUE"""),0)</f>
        <v>0</v>
      </c>
      <c r="K48" s="20">
        <f ca="1">IFERROR(__xludf.DUMMYFUNCTION("""COMPUTED_VALUE"""),30)</f>
        <v>30</v>
      </c>
      <c r="L48" s="20">
        <f ca="1">IFERROR(__xludf.DUMMYFUNCTION("""COMPUTED_VALUE"""),0)</f>
        <v>0</v>
      </c>
      <c r="M48" s="21">
        <f ca="1">IFERROR(__xludf.DUMMYFUNCTION("""COMPUTED_VALUE"""),30)</f>
        <v>30</v>
      </c>
      <c r="N48" s="21">
        <f ca="1">IFERROR(__xludf.DUMMYFUNCTION("""COMPUTED_VALUE"""),0)</f>
        <v>0</v>
      </c>
      <c r="O48" s="22">
        <f ca="1">IFERROR(__xludf.DUMMYFUNCTION("""COMPUTED_VALUE"""),40)</f>
        <v>40</v>
      </c>
      <c r="P48" s="22">
        <f ca="1">IFERROR(__xludf.DUMMYFUNCTION("""COMPUTED_VALUE"""),0)</f>
        <v>0</v>
      </c>
      <c r="Q48" s="23">
        <f ca="1">IFERROR(__xludf.DUMMYFUNCTION("""COMPUTED_VALUE"""),236)</f>
        <v>236</v>
      </c>
      <c r="R48" s="23">
        <f ca="1">IFERROR(__xludf.DUMMYFUNCTION("""COMPUTED_VALUE"""),0)</f>
        <v>0</v>
      </c>
      <c r="S48" s="24" t="str">
        <f ca="1">IFERROR(__xludf.DUMMYFUNCTION("""COMPUTED_VALUE"""),"Wonder Guard")</f>
        <v>Wonder Guard</v>
      </c>
      <c r="T48" s="25"/>
      <c r="U48" s="25"/>
      <c r="V48" s="25" t="str">
        <f ca="1">IFERROR(__xludf.DUMMYFUNCTION("""COMPUTED_VALUE"""),"Lv. 20, empty party slot, PokéBall")</f>
        <v>Lv. 20, empty party slot, PokéBall</v>
      </c>
      <c r="W48" s="25"/>
      <c r="X48" s="25"/>
      <c r="Y48" s="25" t="str">
        <f ca="1">IFERROR(__xludf.DUMMYFUNCTION("""COMPUTED_VALUE"""),"Sea of Asteri (wild)")</f>
        <v>Sea of Asteri (wild)</v>
      </c>
    </row>
    <row r="49" spans="1:25" x14ac:dyDescent="0.25">
      <c r="A49" s="15" t="str">
        <f ca="1">IFERROR(__xludf.DUMMYFUNCTION("""COMPUTED_VALUE"""),"Grubbin")</f>
        <v>Grubbin</v>
      </c>
      <c r="B49" s="16">
        <f ca="1">IFERROR(__xludf.DUMMYFUNCTION("""COMPUTED_VALUE"""),48)</f>
        <v>48</v>
      </c>
      <c r="C49" s="3" t="str">
        <f ca="1">IFERROR(__xludf.DUMMYFUNCTION("""COMPUTED_VALUE"""),"Bug")</f>
        <v>Bug</v>
      </c>
      <c r="D49" s="3"/>
      <c r="E49" s="17">
        <f ca="1">IFERROR(__xludf.DUMMYFUNCTION("""COMPUTED_VALUE"""),47)</f>
        <v>47</v>
      </c>
      <c r="F49" s="17">
        <f ca="1">IFERROR(__xludf.DUMMYFUNCTION("""COMPUTED_VALUE"""),0)</f>
        <v>0</v>
      </c>
      <c r="G49" s="18">
        <f ca="1">IFERROR(__xludf.DUMMYFUNCTION("""COMPUTED_VALUE"""),62)</f>
        <v>62</v>
      </c>
      <c r="H49" s="18">
        <f ca="1">IFERROR(__xludf.DUMMYFUNCTION("""COMPUTED_VALUE"""),0)</f>
        <v>0</v>
      </c>
      <c r="I49" s="19">
        <f ca="1">IFERROR(__xludf.DUMMYFUNCTION("""COMPUTED_VALUE"""),45)</f>
        <v>45</v>
      </c>
      <c r="J49" s="19">
        <f ca="1">IFERROR(__xludf.DUMMYFUNCTION("""COMPUTED_VALUE"""),0)</f>
        <v>0</v>
      </c>
      <c r="K49" s="20">
        <f ca="1">IFERROR(__xludf.DUMMYFUNCTION("""COMPUTED_VALUE"""),55)</f>
        <v>55</v>
      </c>
      <c r="L49" s="20">
        <f ca="1">IFERROR(__xludf.DUMMYFUNCTION("""COMPUTED_VALUE"""),0)</f>
        <v>0</v>
      </c>
      <c r="M49" s="21">
        <f ca="1">IFERROR(__xludf.DUMMYFUNCTION("""COMPUTED_VALUE"""),45)</f>
        <v>45</v>
      </c>
      <c r="N49" s="21">
        <f ca="1">IFERROR(__xludf.DUMMYFUNCTION("""COMPUTED_VALUE"""),0)</f>
        <v>0</v>
      </c>
      <c r="O49" s="22">
        <f ca="1">IFERROR(__xludf.DUMMYFUNCTION("""COMPUTED_VALUE"""),46)</f>
        <v>46</v>
      </c>
      <c r="P49" s="22">
        <f ca="1">IFERROR(__xludf.DUMMYFUNCTION("""COMPUTED_VALUE"""),0)</f>
        <v>0</v>
      </c>
      <c r="Q49" s="23">
        <f ca="1">IFERROR(__xludf.DUMMYFUNCTION("""COMPUTED_VALUE"""),300)</f>
        <v>300</v>
      </c>
      <c r="R49" s="23">
        <f ca="1">IFERROR(__xludf.DUMMYFUNCTION("""COMPUTED_VALUE"""),0)</f>
        <v>0</v>
      </c>
      <c r="S49" s="24" t="str">
        <f ca="1">IFERROR(__xludf.DUMMYFUNCTION("""COMPUTED_VALUE"""),"Swarm")</f>
        <v>Swarm</v>
      </c>
      <c r="T49" s="25"/>
      <c r="U49" s="24" t="str">
        <f ca="1">IFERROR(__xludf.DUMMYFUNCTION("""COMPUTED_VALUE"""),"Swarm")</f>
        <v>Swarm</v>
      </c>
      <c r="V49" s="25"/>
      <c r="W49" s="25"/>
      <c r="X49" s="25"/>
      <c r="Y49" s="25" t="str">
        <f ca="1">IFERROR(__xludf.DUMMYFUNCTION("""COMPUTED_VALUE"""),"Bronze Fields N, Bronze Fields S (wild)")</f>
        <v>Bronze Fields N, Bronze Fields S (wild)</v>
      </c>
    </row>
    <row r="50" spans="1:25" x14ac:dyDescent="0.25">
      <c r="A50" s="15" t="str">
        <f ca="1">IFERROR(__xludf.DUMMYFUNCTION("""COMPUTED_VALUE"""),"Charjabug")</f>
        <v>Charjabug</v>
      </c>
      <c r="B50" s="16">
        <f ca="1">IFERROR(__xludf.DUMMYFUNCTION("""COMPUTED_VALUE"""),49)</f>
        <v>49</v>
      </c>
      <c r="C50" s="3" t="str">
        <f ca="1">IFERROR(__xludf.DUMMYFUNCTION("""COMPUTED_VALUE"""),"Bug")</f>
        <v>Bug</v>
      </c>
      <c r="D50" s="3" t="str">
        <f ca="1">IFERROR(__xludf.DUMMYFUNCTION("""COMPUTED_VALUE"""),"Electric")</f>
        <v>Electric</v>
      </c>
      <c r="E50" s="17">
        <f ca="1">IFERROR(__xludf.DUMMYFUNCTION("""COMPUTED_VALUE"""),57)</f>
        <v>57</v>
      </c>
      <c r="F50" s="17">
        <f ca="1">IFERROR(__xludf.DUMMYFUNCTION("""COMPUTED_VALUE"""),0)</f>
        <v>0</v>
      </c>
      <c r="G50" s="18">
        <f ca="1">IFERROR(__xludf.DUMMYFUNCTION("""COMPUTED_VALUE"""),72)</f>
        <v>72</v>
      </c>
      <c r="H50" s="18">
        <f ca="1">IFERROR(__xludf.DUMMYFUNCTION("""COMPUTED_VALUE"""),-10)</f>
        <v>-10</v>
      </c>
      <c r="I50" s="19">
        <f ca="1">IFERROR(__xludf.DUMMYFUNCTION("""COMPUTED_VALUE"""),95)</f>
        <v>95</v>
      </c>
      <c r="J50" s="19">
        <f ca="1">IFERROR(__xludf.DUMMYFUNCTION("""COMPUTED_VALUE"""),0)</f>
        <v>0</v>
      </c>
      <c r="K50" s="20">
        <f ca="1">IFERROR(__xludf.DUMMYFUNCTION("""COMPUTED_VALUE"""),70)</f>
        <v>70</v>
      </c>
      <c r="L50" s="20">
        <f ca="1">IFERROR(__xludf.DUMMYFUNCTION("""COMPUTED_VALUE"""),15)</f>
        <v>15</v>
      </c>
      <c r="M50" s="21">
        <f ca="1">IFERROR(__xludf.DUMMYFUNCTION("""COMPUTED_VALUE"""),75)</f>
        <v>75</v>
      </c>
      <c r="N50" s="21">
        <f ca="1">IFERROR(__xludf.DUMMYFUNCTION("""COMPUTED_VALUE"""),0)</f>
        <v>0</v>
      </c>
      <c r="O50" s="22">
        <f ca="1">IFERROR(__xludf.DUMMYFUNCTION("""COMPUTED_VALUE"""),31)</f>
        <v>31</v>
      </c>
      <c r="P50" s="22">
        <f ca="1">IFERROR(__xludf.DUMMYFUNCTION("""COMPUTED_VALUE"""),-5)</f>
        <v>-5</v>
      </c>
      <c r="Q50" s="23">
        <f ca="1">IFERROR(__xludf.DUMMYFUNCTION("""COMPUTED_VALUE"""),400)</f>
        <v>400</v>
      </c>
      <c r="R50" s="23">
        <f ca="1">IFERROR(__xludf.DUMMYFUNCTION("""COMPUTED_VALUE"""),0)</f>
        <v>0</v>
      </c>
      <c r="S50" s="24" t="str">
        <f ca="1">IFERROR(__xludf.DUMMYFUNCTION("""COMPUTED_VALUE"""),"Battery")</f>
        <v>Battery</v>
      </c>
      <c r="T50" s="25"/>
      <c r="U50" s="24" t="str">
        <f ca="1">IFERROR(__xludf.DUMMYFUNCTION("""COMPUTED_VALUE"""),"Battery")</f>
        <v>Battery</v>
      </c>
      <c r="V50" s="25" t="str">
        <f ca="1">IFERROR(__xludf.DUMMYFUNCTION("""COMPUTED_VALUE"""),"Lv. 20")</f>
        <v>Lv. 20</v>
      </c>
      <c r="W50" s="25"/>
      <c r="X50" s="25" t="str">
        <f ca="1">IFERROR(__xludf.DUMMYFUNCTION("""COMPUTED_VALUE"""),"Cell Battery")</f>
        <v>Cell Battery</v>
      </c>
      <c r="Y50" s="25" t="str">
        <f ca="1">IFERROR(__xludf.DUMMYFUNCTION("""COMPUTED_VALUE"""),"Sea of Asteri, Kaptara Island (wild)")</f>
        <v>Sea of Asteri, Kaptara Island (wild)</v>
      </c>
    </row>
    <row r="51" spans="1:25" x14ac:dyDescent="0.25">
      <c r="A51" s="15" t="str">
        <f ca="1">IFERROR(__xludf.DUMMYFUNCTION("""COMPUTED_VALUE"""),"Vikavolt")</f>
        <v>Vikavolt</v>
      </c>
      <c r="B51" s="16">
        <f ca="1">IFERROR(__xludf.DUMMYFUNCTION("""COMPUTED_VALUE"""),50)</f>
        <v>50</v>
      </c>
      <c r="C51" s="3" t="str">
        <f ca="1">IFERROR(__xludf.DUMMYFUNCTION("""COMPUTED_VALUE"""),"Bug")</f>
        <v>Bug</v>
      </c>
      <c r="D51" s="3" t="str">
        <f ca="1">IFERROR(__xludf.DUMMYFUNCTION("""COMPUTED_VALUE"""),"Electric")</f>
        <v>Electric</v>
      </c>
      <c r="E51" s="17">
        <f ca="1">IFERROR(__xludf.DUMMYFUNCTION("""COMPUTED_VALUE"""),77)</f>
        <v>77</v>
      </c>
      <c r="F51" s="17">
        <f ca="1">IFERROR(__xludf.DUMMYFUNCTION("""COMPUTED_VALUE"""),0)</f>
        <v>0</v>
      </c>
      <c r="G51" s="18">
        <f ca="1">IFERROR(__xludf.DUMMYFUNCTION("""COMPUTED_VALUE"""),80)</f>
        <v>80</v>
      </c>
      <c r="H51" s="18">
        <f ca="1">IFERROR(__xludf.DUMMYFUNCTION("""COMPUTED_VALUE"""),10)</f>
        <v>10</v>
      </c>
      <c r="I51" s="19">
        <f ca="1">IFERROR(__xludf.DUMMYFUNCTION("""COMPUTED_VALUE"""),90)</f>
        <v>90</v>
      </c>
      <c r="J51" s="19">
        <f ca="1">IFERROR(__xludf.DUMMYFUNCTION("""COMPUTED_VALUE"""),0)</f>
        <v>0</v>
      </c>
      <c r="K51" s="20">
        <f ca="1">IFERROR(__xludf.DUMMYFUNCTION("""COMPUTED_VALUE"""),135)</f>
        <v>135</v>
      </c>
      <c r="L51" s="20">
        <f ca="1">IFERROR(__xludf.DUMMYFUNCTION("""COMPUTED_VALUE"""),-10)</f>
        <v>-10</v>
      </c>
      <c r="M51" s="21">
        <f ca="1">IFERROR(__xludf.DUMMYFUNCTION("""COMPUTED_VALUE"""),75)</f>
        <v>75</v>
      </c>
      <c r="N51" s="21">
        <f ca="1">IFERROR(__xludf.DUMMYFUNCTION("""COMPUTED_VALUE"""),0)</f>
        <v>0</v>
      </c>
      <c r="O51" s="22">
        <f ca="1">IFERROR(__xludf.DUMMYFUNCTION("""COMPUTED_VALUE"""),43)</f>
        <v>43</v>
      </c>
      <c r="P51" s="22">
        <f ca="1">IFERROR(__xludf.DUMMYFUNCTION("""COMPUTED_VALUE"""),0)</f>
        <v>0</v>
      </c>
      <c r="Q51" s="23">
        <f ca="1">IFERROR(__xludf.DUMMYFUNCTION("""COMPUTED_VALUE"""),500)</f>
        <v>500</v>
      </c>
      <c r="R51" s="23">
        <f ca="1">IFERROR(__xludf.DUMMYFUNCTION("""COMPUTED_VALUE"""),0)</f>
        <v>0</v>
      </c>
      <c r="S51" s="24" t="str">
        <f ca="1">IFERROR(__xludf.DUMMYFUNCTION("""COMPUTED_VALUE"""),"Levitate")</f>
        <v>Levitate</v>
      </c>
      <c r="T51" s="25"/>
      <c r="U51" s="24" t="str">
        <f ca="1">IFERROR(__xludf.DUMMYFUNCTION("""COMPUTED_VALUE"""),"Speed Boost")</f>
        <v>Speed Boost</v>
      </c>
      <c r="V51" s="25" t="str">
        <f ca="1">IFERROR(__xludf.DUMMYFUNCTION("""COMPUTED_VALUE"""),"Thunder Stone")</f>
        <v>Thunder Stone</v>
      </c>
      <c r="W51" s="25"/>
      <c r="X51" s="25"/>
      <c r="Y51" s="25" t="str">
        <f ca="1">IFERROR(__xludf.DUMMYFUNCTION("""COMPUTED_VALUE"""),"Charjabug (evolve)")</f>
        <v>Charjabug (evolve)</v>
      </c>
    </row>
    <row r="52" spans="1:25" x14ac:dyDescent="0.25">
      <c r="A52" s="15" t="str">
        <f ca="1">IFERROR(__xludf.DUMMYFUNCTION("""COMPUTED_VALUE"""),"Paras")</f>
        <v>Paras</v>
      </c>
      <c r="B52" s="16">
        <f ca="1">IFERROR(__xludf.DUMMYFUNCTION("""COMPUTED_VALUE"""),51)</f>
        <v>51</v>
      </c>
      <c r="C52" s="3" t="str">
        <f ca="1">IFERROR(__xludf.DUMMYFUNCTION("""COMPUTED_VALUE"""),"Bug")</f>
        <v>Bug</v>
      </c>
      <c r="D52" s="3" t="str">
        <f ca="1">IFERROR(__xludf.DUMMYFUNCTION("""COMPUTED_VALUE"""),"Grass")</f>
        <v>Grass</v>
      </c>
      <c r="E52" s="17">
        <f ca="1">IFERROR(__xludf.DUMMYFUNCTION("""COMPUTED_VALUE"""),35)</f>
        <v>35</v>
      </c>
      <c r="F52" s="17">
        <f ca="1">IFERROR(__xludf.DUMMYFUNCTION("""COMPUTED_VALUE"""),0)</f>
        <v>0</v>
      </c>
      <c r="G52" s="18">
        <f ca="1">IFERROR(__xludf.DUMMYFUNCTION("""COMPUTED_VALUE"""),70)</f>
        <v>70</v>
      </c>
      <c r="H52" s="18">
        <f ca="1">IFERROR(__xludf.DUMMYFUNCTION("""COMPUTED_VALUE"""),0)</f>
        <v>0</v>
      </c>
      <c r="I52" s="19">
        <f ca="1">IFERROR(__xludf.DUMMYFUNCTION("""COMPUTED_VALUE"""),55)</f>
        <v>55</v>
      </c>
      <c r="J52" s="19">
        <f ca="1">IFERROR(__xludf.DUMMYFUNCTION("""COMPUTED_VALUE"""),0)</f>
        <v>0</v>
      </c>
      <c r="K52" s="20">
        <f ca="1">IFERROR(__xludf.DUMMYFUNCTION("""COMPUTED_VALUE"""),45)</f>
        <v>45</v>
      </c>
      <c r="L52" s="20">
        <f ca="1">IFERROR(__xludf.DUMMYFUNCTION("""COMPUTED_VALUE"""),0)</f>
        <v>0</v>
      </c>
      <c r="M52" s="21">
        <f ca="1">IFERROR(__xludf.DUMMYFUNCTION("""COMPUTED_VALUE"""),55)</f>
        <v>55</v>
      </c>
      <c r="N52" s="21">
        <f ca="1">IFERROR(__xludf.DUMMYFUNCTION("""COMPUTED_VALUE"""),0)</f>
        <v>0</v>
      </c>
      <c r="O52" s="22">
        <f ca="1">IFERROR(__xludf.DUMMYFUNCTION("""COMPUTED_VALUE"""),25)</f>
        <v>25</v>
      </c>
      <c r="P52" s="22">
        <f ca="1">IFERROR(__xludf.DUMMYFUNCTION("""COMPUTED_VALUE"""),0)</f>
        <v>0</v>
      </c>
      <c r="Q52" s="23">
        <f ca="1">IFERROR(__xludf.DUMMYFUNCTION("""COMPUTED_VALUE"""),285)</f>
        <v>285</v>
      </c>
      <c r="R52" s="23">
        <f ca="1">IFERROR(__xludf.DUMMYFUNCTION("""COMPUTED_VALUE"""),0)</f>
        <v>0</v>
      </c>
      <c r="S52" s="24" t="str">
        <f ca="1">IFERROR(__xludf.DUMMYFUNCTION("""COMPUTED_VALUE"""),"Effect Spore")</f>
        <v>Effect Spore</v>
      </c>
      <c r="T52" s="24" t="str">
        <f ca="1">IFERROR(__xludf.DUMMYFUNCTION("""COMPUTED_VALUE"""),"Damp")</f>
        <v>Damp</v>
      </c>
      <c r="U52" s="24" t="str">
        <f ca="1">IFERROR(__xludf.DUMMYFUNCTION("""COMPUTED_VALUE"""),"Poison Touch")</f>
        <v>Poison Touch</v>
      </c>
      <c r="V52" s="25"/>
      <c r="W52" s="25" t="str">
        <f ca="1">IFERROR(__xludf.DUMMYFUNCTION("""COMPUTED_VALUE"""),"Tiny Mushroom")</f>
        <v>Tiny Mushroom</v>
      </c>
      <c r="X52" s="25" t="str">
        <f ca="1">IFERROR(__xludf.DUMMYFUNCTION("""COMPUTED_VALUE"""),"Big Mushroom")</f>
        <v>Big Mushroom</v>
      </c>
      <c r="Y52" s="25" t="str">
        <f ca="1">IFERROR(__xludf.DUMMYFUNCTION("""COMPUTED_VALUE"""),"Bronze Fields N, Pythios Cemetery (wild)")</f>
        <v>Bronze Fields N, Pythios Cemetery (wild)</v>
      </c>
    </row>
    <row r="53" spans="1:25" x14ac:dyDescent="0.25">
      <c r="A53" s="15" t="str">
        <f ca="1">IFERROR(__xludf.DUMMYFUNCTION("""COMPUTED_VALUE"""),"Parasect")</f>
        <v>Parasect</v>
      </c>
      <c r="B53" s="16">
        <f ca="1">IFERROR(__xludf.DUMMYFUNCTION("""COMPUTED_VALUE"""),52)</f>
        <v>52</v>
      </c>
      <c r="C53" s="3" t="str">
        <f ca="1">IFERROR(__xludf.DUMMYFUNCTION("""COMPUTED_VALUE"""),"Bug")</f>
        <v>Bug</v>
      </c>
      <c r="D53" s="3" t="str">
        <f ca="1">IFERROR(__xludf.DUMMYFUNCTION("""COMPUTED_VALUE"""),"Ghost")</f>
        <v>Ghost</v>
      </c>
      <c r="E53" s="17">
        <f ca="1">IFERROR(__xludf.DUMMYFUNCTION("""COMPUTED_VALUE"""),80)</f>
        <v>80</v>
      </c>
      <c r="F53" s="17">
        <f ca="1">IFERROR(__xludf.DUMMYFUNCTION("""COMPUTED_VALUE"""),20)</f>
        <v>20</v>
      </c>
      <c r="G53" s="18">
        <f ca="1">IFERROR(__xludf.DUMMYFUNCTION("""COMPUTED_VALUE"""),95)</f>
        <v>95</v>
      </c>
      <c r="H53" s="18">
        <f ca="1">IFERROR(__xludf.DUMMYFUNCTION("""COMPUTED_VALUE"""),0)</f>
        <v>0</v>
      </c>
      <c r="I53" s="19">
        <f ca="1">IFERROR(__xludf.DUMMYFUNCTION("""COMPUTED_VALUE"""),85)</f>
        <v>85</v>
      </c>
      <c r="J53" s="19">
        <f ca="1">IFERROR(__xludf.DUMMYFUNCTION("""COMPUTED_VALUE"""),5)</f>
        <v>5</v>
      </c>
      <c r="K53" s="20">
        <f ca="1">IFERROR(__xludf.DUMMYFUNCTION("""COMPUTED_VALUE"""),60)</f>
        <v>60</v>
      </c>
      <c r="L53" s="20">
        <f ca="1">IFERROR(__xludf.DUMMYFUNCTION("""COMPUTED_VALUE"""),0)</f>
        <v>0</v>
      </c>
      <c r="M53" s="21">
        <f ca="1">IFERROR(__xludf.DUMMYFUNCTION("""COMPUTED_VALUE"""),85)</f>
        <v>85</v>
      </c>
      <c r="N53" s="21">
        <f ca="1">IFERROR(__xludf.DUMMYFUNCTION("""COMPUTED_VALUE"""),5)</f>
        <v>5</v>
      </c>
      <c r="O53" s="22">
        <f ca="1">IFERROR(__xludf.DUMMYFUNCTION("""COMPUTED_VALUE"""),30)</f>
        <v>30</v>
      </c>
      <c r="P53" s="22">
        <f ca="1">IFERROR(__xludf.DUMMYFUNCTION("""COMPUTED_VALUE"""),0)</f>
        <v>0</v>
      </c>
      <c r="Q53" s="23">
        <f ca="1">IFERROR(__xludf.DUMMYFUNCTION("""COMPUTED_VALUE"""),435)</f>
        <v>435</v>
      </c>
      <c r="R53" s="23">
        <f ca="1">IFERROR(__xludf.DUMMYFUNCTION("""COMPUTED_VALUE"""),30)</f>
        <v>30</v>
      </c>
      <c r="S53" s="24" t="str">
        <f ca="1">IFERROR(__xludf.DUMMYFUNCTION("""COMPUTED_VALUE"""),"Effect Spore")</f>
        <v>Effect Spore</v>
      </c>
      <c r="T53" s="24" t="str">
        <f ca="1">IFERROR(__xludf.DUMMYFUNCTION("""COMPUTED_VALUE"""),"Damp")</f>
        <v>Damp</v>
      </c>
      <c r="U53" s="24" t="str">
        <f ca="1">IFERROR(__xludf.DUMMYFUNCTION("""COMPUTED_VALUE"""),"Poison Touch")</f>
        <v>Poison Touch</v>
      </c>
      <c r="V53" s="25" t="str">
        <f ca="1">IFERROR(__xludf.DUMMYFUNCTION("""COMPUTED_VALUE"""),"Lv. 24")</f>
        <v>Lv. 24</v>
      </c>
      <c r="W53" s="25" t="str">
        <f ca="1">IFERROR(__xludf.DUMMYFUNCTION("""COMPUTED_VALUE"""),"Tiny Mushroom")</f>
        <v>Tiny Mushroom</v>
      </c>
      <c r="X53" s="25" t="str">
        <f ca="1">IFERROR(__xludf.DUMMYFUNCTION("""COMPUTED_VALUE"""),"Big Mushroom")</f>
        <v>Big Mushroom</v>
      </c>
      <c r="Y53" s="25" t="str">
        <f ca="1">IFERROR(__xludf.DUMMYFUNCTION("""COMPUTED_VALUE"""),"Paras (evolve)")</f>
        <v>Paras (evolve)</v>
      </c>
    </row>
    <row r="54" spans="1:25" x14ac:dyDescent="0.25">
      <c r="A54" s="15" t="str">
        <f ca="1">IFERROR(__xludf.DUMMYFUNCTION("""COMPUTED_VALUE"""),"Phanpy")</f>
        <v>Phanpy</v>
      </c>
      <c r="B54" s="16">
        <f ca="1">IFERROR(__xludf.DUMMYFUNCTION("""COMPUTED_VALUE"""),53)</f>
        <v>53</v>
      </c>
      <c r="C54" s="3" t="str">
        <f ca="1">IFERROR(__xludf.DUMMYFUNCTION("""COMPUTED_VALUE"""),"Ground")</f>
        <v>Ground</v>
      </c>
      <c r="D54" s="3"/>
      <c r="E54" s="17">
        <f ca="1">IFERROR(__xludf.DUMMYFUNCTION("""COMPUTED_VALUE"""),90)</f>
        <v>90</v>
      </c>
      <c r="F54" s="17">
        <f ca="1">IFERROR(__xludf.DUMMYFUNCTION("""COMPUTED_VALUE"""),0)</f>
        <v>0</v>
      </c>
      <c r="G54" s="18">
        <f ca="1">IFERROR(__xludf.DUMMYFUNCTION("""COMPUTED_VALUE"""),60)</f>
        <v>60</v>
      </c>
      <c r="H54" s="18">
        <f ca="1">IFERROR(__xludf.DUMMYFUNCTION("""COMPUTED_VALUE"""),0)</f>
        <v>0</v>
      </c>
      <c r="I54" s="19">
        <f ca="1">IFERROR(__xludf.DUMMYFUNCTION("""COMPUTED_VALUE"""),65)</f>
        <v>65</v>
      </c>
      <c r="J54" s="19">
        <f ca="1">IFERROR(__xludf.DUMMYFUNCTION("""COMPUTED_VALUE"""),5)</f>
        <v>5</v>
      </c>
      <c r="K54" s="20">
        <f ca="1">IFERROR(__xludf.DUMMYFUNCTION("""COMPUTED_VALUE"""),40)</f>
        <v>40</v>
      </c>
      <c r="L54" s="20">
        <f ca="1">IFERROR(__xludf.DUMMYFUNCTION("""COMPUTED_VALUE"""),0)</f>
        <v>0</v>
      </c>
      <c r="M54" s="21">
        <f ca="1">IFERROR(__xludf.DUMMYFUNCTION("""COMPUTED_VALUE"""),50)</f>
        <v>50</v>
      </c>
      <c r="N54" s="21">
        <f ca="1">IFERROR(__xludf.DUMMYFUNCTION("""COMPUTED_VALUE"""),10)</f>
        <v>10</v>
      </c>
      <c r="O54" s="22">
        <f ca="1">IFERROR(__xludf.DUMMYFUNCTION("""COMPUTED_VALUE"""),40)</f>
        <v>40</v>
      </c>
      <c r="P54" s="22">
        <f ca="1">IFERROR(__xludf.DUMMYFUNCTION("""COMPUTED_VALUE"""),0)</f>
        <v>0</v>
      </c>
      <c r="Q54" s="23">
        <f ca="1">IFERROR(__xludf.DUMMYFUNCTION("""COMPUTED_VALUE"""),345)</f>
        <v>345</v>
      </c>
      <c r="R54" s="23">
        <f ca="1">IFERROR(__xludf.DUMMYFUNCTION("""COMPUTED_VALUE"""),15)</f>
        <v>15</v>
      </c>
      <c r="S54" s="24" t="str">
        <f ca="1">IFERROR(__xludf.DUMMYFUNCTION("""COMPUTED_VALUE"""),"Pickup")</f>
        <v>Pickup</v>
      </c>
      <c r="T54" s="24" t="str">
        <f ca="1">IFERROR(__xludf.DUMMYFUNCTION("""COMPUTED_VALUE"""),"Stamina")</f>
        <v>Stamina</v>
      </c>
      <c r="U54" s="24" t="str">
        <f ca="1">IFERROR(__xludf.DUMMYFUNCTION("""COMPUTED_VALUE"""),"Sand Veil")</f>
        <v>Sand Veil</v>
      </c>
      <c r="V54" s="25"/>
      <c r="W54" s="25"/>
      <c r="X54" s="25"/>
      <c r="Y54" s="25" t="str">
        <f ca="1">IFERROR(__xludf.DUMMYFUNCTION("""COMPUTED_VALUE"""),"Acrisia City, Bronze Fields N (wild)")</f>
        <v>Acrisia City, Bronze Fields N (wild)</v>
      </c>
    </row>
    <row r="55" spans="1:25" x14ac:dyDescent="0.25">
      <c r="A55" s="15" t="str">
        <f ca="1">IFERROR(__xludf.DUMMYFUNCTION("""COMPUTED_VALUE"""),"Donphan")</f>
        <v>Donphan</v>
      </c>
      <c r="B55" s="16">
        <f ca="1">IFERROR(__xludf.DUMMYFUNCTION("""COMPUTED_VALUE"""),54)</f>
        <v>54</v>
      </c>
      <c r="C55" s="3" t="str">
        <f ca="1">IFERROR(__xludf.DUMMYFUNCTION("""COMPUTED_VALUE"""),"Ground")</f>
        <v>Ground</v>
      </c>
      <c r="D55" s="3"/>
      <c r="E55" s="17">
        <f ca="1">IFERROR(__xludf.DUMMYFUNCTION("""COMPUTED_VALUE"""),110)</f>
        <v>110</v>
      </c>
      <c r="F55" s="17">
        <f ca="1">IFERROR(__xludf.DUMMYFUNCTION("""COMPUTED_VALUE"""),20)</f>
        <v>20</v>
      </c>
      <c r="G55" s="18">
        <f ca="1">IFERROR(__xludf.DUMMYFUNCTION("""COMPUTED_VALUE"""),120)</f>
        <v>120</v>
      </c>
      <c r="H55" s="18">
        <f ca="1">IFERROR(__xludf.DUMMYFUNCTION("""COMPUTED_VALUE"""),0)</f>
        <v>0</v>
      </c>
      <c r="I55" s="19">
        <f ca="1">IFERROR(__xludf.DUMMYFUNCTION("""COMPUTED_VALUE"""),120)</f>
        <v>120</v>
      </c>
      <c r="J55" s="19">
        <f ca="1">IFERROR(__xludf.DUMMYFUNCTION("""COMPUTED_VALUE"""),0)</f>
        <v>0</v>
      </c>
      <c r="K55" s="20">
        <f ca="1">IFERROR(__xludf.DUMMYFUNCTION("""COMPUTED_VALUE"""),60)</f>
        <v>60</v>
      </c>
      <c r="L55" s="20">
        <f ca="1">IFERROR(__xludf.DUMMYFUNCTION("""COMPUTED_VALUE"""),0)</f>
        <v>0</v>
      </c>
      <c r="M55" s="21">
        <f ca="1">IFERROR(__xludf.DUMMYFUNCTION("""COMPUTED_VALUE"""),60)</f>
        <v>60</v>
      </c>
      <c r="N55" s="21">
        <f ca="1">IFERROR(__xludf.DUMMYFUNCTION("""COMPUTED_VALUE"""),0)</f>
        <v>0</v>
      </c>
      <c r="O55" s="22">
        <f ca="1">IFERROR(__xludf.DUMMYFUNCTION("""COMPUTED_VALUE"""),50)</f>
        <v>50</v>
      </c>
      <c r="P55" s="22">
        <f ca="1">IFERROR(__xludf.DUMMYFUNCTION("""COMPUTED_VALUE"""),0)</f>
        <v>0</v>
      </c>
      <c r="Q55" s="23">
        <f ca="1">IFERROR(__xludf.DUMMYFUNCTION("""COMPUTED_VALUE"""),520)</f>
        <v>520</v>
      </c>
      <c r="R55" s="23">
        <f ca="1">IFERROR(__xludf.DUMMYFUNCTION("""COMPUTED_VALUE"""),20)</f>
        <v>20</v>
      </c>
      <c r="S55" s="24" t="str">
        <f ca="1">IFERROR(__xludf.DUMMYFUNCTION("""COMPUTED_VALUE"""),"Sturdy")</f>
        <v>Sturdy</v>
      </c>
      <c r="T55" s="24" t="str">
        <f ca="1">IFERROR(__xludf.DUMMYFUNCTION("""COMPUTED_VALUE"""),"Stamina")</f>
        <v>Stamina</v>
      </c>
      <c r="U55" s="24" t="str">
        <f ca="1">IFERROR(__xludf.DUMMYFUNCTION("""COMPUTED_VALUE"""),"Sand Veil")</f>
        <v>Sand Veil</v>
      </c>
      <c r="V55" s="25" t="str">
        <f ca="1">IFERROR(__xludf.DUMMYFUNCTION("""COMPUTED_VALUE"""),"Lv. 25")</f>
        <v>Lv. 25</v>
      </c>
      <c r="W55" s="25"/>
      <c r="X55" s="25"/>
      <c r="Y55" s="25" t="str">
        <f ca="1">IFERROR(__xludf.DUMMYFUNCTION("""COMPUTED_VALUE"""),"Phanpy (evolve)")</f>
        <v>Phanpy (evolve)</v>
      </c>
    </row>
    <row r="56" spans="1:25" x14ac:dyDescent="0.25">
      <c r="A56" s="15" t="str">
        <f ca="1">IFERROR(__xludf.DUMMYFUNCTION("""COMPUTED_VALUE"""),"Snom")</f>
        <v>Snom</v>
      </c>
      <c r="B56" s="16">
        <f ca="1">IFERROR(__xludf.DUMMYFUNCTION("""COMPUTED_VALUE"""),55)</f>
        <v>55</v>
      </c>
      <c r="C56" s="3" t="str">
        <f ca="1">IFERROR(__xludf.DUMMYFUNCTION("""COMPUTED_VALUE"""),"Ice")</f>
        <v>Ice</v>
      </c>
      <c r="D56" s="3" t="str">
        <f ca="1">IFERROR(__xludf.DUMMYFUNCTION("""COMPUTED_VALUE"""),"Bug")</f>
        <v>Bug</v>
      </c>
      <c r="E56" s="17">
        <f ca="1">IFERROR(__xludf.DUMMYFUNCTION("""COMPUTED_VALUE"""),30)</f>
        <v>30</v>
      </c>
      <c r="F56" s="17">
        <f ca="1">IFERROR(__xludf.DUMMYFUNCTION("""COMPUTED_VALUE"""),0)</f>
        <v>0</v>
      </c>
      <c r="G56" s="18">
        <f ca="1">IFERROR(__xludf.DUMMYFUNCTION("""COMPUTED_VALUE"""),25)</f>
        <v>25</v>
      </c>
      <c r="H56" s="18">
        <f ca="1">IFERROR(__xludf.DUMMYFUNCTION("""COMPUTED_VALUE"""),0)</f>
        <v>0</v>
      </c>
      <c r="I56" s="19">
        <f ca="1">IFERROR(__xludf.DUMMYFUNCTION("""COMPUTED_VALUE"""),35)</f>
        <v>35</v>
      </c>
      <c r="J56" s="19">
        <f ca="1">IFERROR(__xludf.DUMMYFUNCTION("""COMPUTED_VALUE"""),0)</f>
        <v>0</v>
      </c>
      <c r="K56" s="20">
        <f ca="1">IFERROR(__xludf.DUMMYFUNCTION("""COMPUTED_VALUE"""),45)</f>
        <v>45</v>
      </c>
      <c r="L56" s="20">
        <f ca="1">IFERROR(__xludf.DUMMYFUNCTION("""COMPUTED_VALUE"""),0)</f>
        <v>0</v>
      </c>
      <c r="M56" s="21">
        <f ca="1">IFERROR(__xludf.DUMMYFUNCTION("""COMPUTED_VALUE"""),30)</f>
        <v>30</v>
      </c>
      <c r="N56" s="21">
        <f ca="1">IFERROR(__xludf.DUMMYFUNCTION("""COMPUTED_VALUE"""),0)</f>
        <v>0</v>
      </c>
      <c r="O56" s="22">
        <f ca="1">IFERROR(__xludf.DUMMYFUNCTION("""COMPUTED_VALUE"""),20)</f>
        <v>20</v>
      </c>
      <c r="P56" s="22">
        <f ca="1">IFERROR(__xludf.DUMMYFUNCTION("""COMPUTED_VALUE"""),0)</f>
        <v>0</v>
      </c>
      <c r="Q56" s="23">
        <f ca="1">IFERROR(__xludf.DUMMYFUNCTION("""COMPUTED_VALUE"""),185)</f>
        <v>185</v>
      </c>
      <c r="R56" s="23">
        <f ca="1">IFERROR(__xludf.DUMMYFUNCTION("""COMPUTED_VALUE"""),0)</f>
        <v>0</v>
      </c>
      <c r="S56" s="24" t="str">
        <f ca="1">IFERROR(__xludf.DUMMYFUNCTION("""COMPUTED_VALUE"""),"Shield Dust")</f>
        <v>Shield Dust</v>
      </c>
      <c r="T56" s="25"/>
      <c r="U56" s="24" t="str">
        <f ca="1">IFERROR(__xludf.DUMMYFUNCTION("""COMPUTED_VALUE"""),"Ice Scales")</f>
        <v>Ice Scales</v>
      </c>
      <c r="V56" s="25"/>
      <c r="W56" s="25"/>
      <c r="X56" s="25" t="str">
        <f ca="1">IFERROR(__xludf.DUMMYFUNCTION("""COMPUTED_VALUE"""),"Snowball")</f>
        <v>Snowball</v>
      </c>
      <c r="Y56" s="25" t="str">
        <f ca="1">IFERROR(__xludf.DUMMYFUNCTION("""COMPUTED_VALUE"""),"Pythios Cemetery (wild)")</f>
        <v>Pythios Cemetery (wild)</v>
      </c>
    </row>
    <row r="57" spans="1:25" x14ac:dyDescent="0.25">
      <c r="A57" s="15" t="str">
        <f ca="1">IFERROR(__xludf.DUMMYFUNCTION("""COMPUTED_VALUE"""),"Frosmoth")</f>
        <v>Frosmoth</v>
      </c>
      <c r="B57" s="16">
        <f ca="1">IFERROR(__xludf.DUMMYFUNCTION("""COMPUTED_VALUE"""),56)</f>
        <v>56</v>
      </c>
      <c r="C57" s="3" t="str">
        <f ca="1">IFERROR(__xludf.DUMMYFUNCTION("""COMPUTED_VALUE"""),"Ice")</f>
        <v>Ice</v>
      </c>
      <c r="D57" s="3" t="str">
        <f ca="1">IFERROR(__xludf.DUMMYFUNCTION("""COMPUTED_VALUE"""),"Bug")</f>
        <v>Bug</v>
      </c>
      <c r="E57" s="17">
        <f ca="1">IFERROR(__xludf.DUMMYFUNCTION("""COMPUTED_VALUE"""),90)</f>
        <v>90</v>
      </c>
      <c r="F57" s="17">
        <f ca="1">IFERROR(__xludf.DUMMYFUNCTION("""COMPUTED_VALUE"""),20)</f>
        <v>20</v>
      </c>
      <c r="G57" s="18">
        <f ca="1">IFERROR(__xludf.DUMMYFUNCTION("""COMPUTED_VALUE"""),65)</f>
        <v>65</v>
      </c>
      <c r="H57" s="18">
        <f ca="1">IFERROR(__xludf.DUMMYFUNCTION("""COMPUTED_VALUE"""),0)</f>
        <v>0</v>
      </c>
      <c r="I57" s="19">
        <f ca="1">IFERROR(__xludf.DUMMYFUNCTION("""COMPUTED_VALUE"""),60)</f>
        <v>60</v>
      </c>
      <c r="J57" s="19">
        <f ca="1">IFERROR(__xludf.DUMMYFUNCTION("""COMPUTED_VALUE"""),0)</f>
        <v>0</v>
      </c>
      <c r="K57" s="20">
        <f ca="1">IFERROR(__xludf.DUMMYFUNCTION("""COMPUTED_VALUE"""),125)</f>
        <v>125</v>
      </c>
      <c r="L57" s="20">
        <f ca="1">IFERROR(__xludf.DUMMYFUNCTION("""COMPUTED_VALUE"""),0)</f>
        <v>0</v>
      </c>
      <c r="M57" s="21">
        <f ca="1">IFERROR(__xludf.DUMMYFUNCTION("""COMPUTED_VALUE"""),90)</f>
        <v>90</v>
      </c>
      <c r="N57" s="21">
        <f ca="1">IFERROR(__xludf.DUMMYFUNCTION("""COMPUTED_VALUE"""),0)</f>
        <v>0</v>
      </c>
      <c r="O57" s="22">
        <f ca="1">IFERROR(__xludf.DUMMYFUNCTION("""COMPUTED_VALUE"""),75)</f>
        <v>75</v>
      </c>
      <c r="P57" s="22">
        <f ca="1">IFERROR(__xludf.DUMMYFUNCTION("""COMPUTED_VALUE"""),10)</f>
        <v>10</v>
      </c>
      <c r="Q57" s="23">
        <f ca="1">IFERROR(__xludf.DUMMYFUNCTION("""COMPUTED_VALUE"""),505)</f>
        <v>505</v>
      </c>
      <c r="R57" s="23">
        <f ca="1">IFERROR(__xludf.DUMMYFUNCTION("""COMPUTED_VALUE"""),30)</f>
        <v>30</v>
      </c>
      <c r="S57" s="24" t="str">
        <f ca="1">IFERROR(__xludf.DUMMYFUNCTION("""COMPUTED_VALUE"""),"Shield Dust")</f>
        <v>Shield Dust</v>
      </c>
      <c r="T57" s="25"/>
      <c r="U57" s="24" t="str">
        <f ca="1">IFERROR(__xludf.DUMMYFUNCTION("""COMPUTED_VALUE"""),"Ice Scales")</f>
        <v>Ice Scales</v>
      </c>
      <c r="V57" s="25" t="str">
        <f ca="1">IFERROR(__xludf.DUMMYFUNCTION("""COMPUTED_VALUE"""),"Ice Stone")</f>
        <v>Ice Stone</v>
      </c>
      <c r="W57" s="25"/>
      <c r="X57" s="25"/>
      <c r="Y57" s="25" t="str">
        <f ca="1">IFERROR(__xludf.DUMMYFUNCTION("""COMPUTED_VALUE"""),"Snom (evolve)")</f>
        <v>Snom (evolve)</v>
      </c>
    </row>
    <row r="58" spans="1:25" x14ac:dyDescent="0.25">
      <c r="A58" s="15" t="str">
        <f ca="1">IFERROR(__xludf.DUMMYFUNCTION("""COMPUTED_VALUE"""),"Cubone")</f>
        <v>Cubone</v>
      </c>
      <c r="B58" s="16">
        <f ca="1">IFERROR(__xludf.DUMMYFUNCTION("""COMPUTED_VALUE"""),57)</f>
        <v>57</v>
      </c>
      <c r="C58" s="3" t="str">
        <f ca="1">IFERROR(__xludf.DUMMYFUNCTION("""COMPUTED_VALUE"""),"Ground")</f>
        <v>Ground</v>
      </c>
      <c r="D58" s="3"/>
      <c r="E58" s="17">
        <f ca="1">IFERROR(__xludf.DUMMYFUNCTION("""COMPUTED_VALUE"""),50)</f>
        <v>50</v>
      </c>
      <c r="F58" s="17">
        <f ca="1">IFERROR(__xludf.DUMMYFUNCTION("""COMPUTED_VALUE"""),0)</f>
        <v>0</v>
      </c>
      <c r="G58" s="18">
        <f ca="1">IFERROR(__xludf.DUMMYFUNCTION("""COMPUTED_VALUE"""),50)</f>
        <v>50</v>
      </c>
      <c r="H58" s="18">
        <f ca="1">IFERROR(__xludf.DUMMYFUNCTION("""COMPUTED_VALUE"""),0)</f>
        <v>0</v>
      </c>
      <c r="I58" s="19">
        <f ca="1">IFERROR(__xludf.DUMMYFUNCTION("""COMPUTED_VALUE"""),95)</f>
        <v>95</v>
      </c>
      <c r="J58" s="19">
        <f ca="1">IFERROR(__xludf.DUMMYFUNCTION("""COMPUTED_VALUE"""),0)</f>
        <v>0</v>
      </c>
      <c r="K58" s="20">
        <f ca="1">IFERROR(__xludf.DUMMYFUNCTION("""COMPUTED_VALUE"""),40)</f>
        <v>40</v>
      </c>
      <c r="L58" s="20">
        <f ca="1">IFERROR(__xludf.DUMMYFUNCTION("""COMPUTED_VALUE"""),0)</f>
        <v>0</v>
      </c>
      <c r="M58" s="21">
        <f ca="1">IFERROR(__xludf.DUMMYFUNCTION("""COMPUTED_VALUE"""),50)</f>
        <v>50</v>
      </c>
      <c r="N58" s="21">
        <f ca="1">IFERROR(__xludf.DUMMYFUNCTION("""COMPUTED_VALUE"""),0)</f>
        <v>0</v>
      </c>
      <c r="O58" s="22">
        <f ca="1">IFERROR(__xludf.DUMMYFUNCTION("""COMPUTED_VALUE"""),35)</f>
        <v>35</v>
      </c>
      <c r="P58" s="22">
        <f ca="1">IFERROR(__xludf.DUMMYFUNCTION("""COMPUTED_VALUE"""),0)</f>
        <v>0</v>
      </c>
      <c r="Q58" s="23">
        <f ca="1">IFERROR(__xludf.DUMMYFUNCTION("""COMPUTED_VALUE"""),320)</f>
        <v>320</v>
      </c>
      <c r="R58" s="23">
        <f ca="1">IFERROR(__xludf.DUMMYFUNCTION("""COMPUTED_VALUE"""),0)</f>
        <v>0</v>
      </c>
      <c r="S58" s="24" t="str">
        <f ca="1">IFERROR(__xludf.DUMMYFUNCTION("""COMPUTED_VALUE"""),"Rock Head")</f>
        <v>Rock Head</v>
      </c>
      <c r="T58" s="24" t="str">
        <f ca="1">IFERROR(__xludf.DUMMYFUNCTION("""COMPUTED_VALUE"""),"Skill Link")</f>
        <v>Skill Link</v>
      </c>
      <c r="U58" s="24" t="str">
        <f ca="1">IFERROR(__xludf.DUMMYFUNCTION("""COMPUTED_VALUE"""),"Battle Armor")</f>
        <v>Battle Armor</v>
      </c>
      <c r="V58" s="25"/>
      <c r="W58" s="25"/>
      <c r="X58" s="25" t="str">
        <f ca="1">IFERROR(__xludf.DUMMYFUNCTION("""COMPUTED_VALUE"""),"Thick Club")</f>
        <v>Thick Club</v>
      </c>
      <c r="Y58" s="25" t="str">
        <f ca="1">IFERROR(__xludf.DUMMYFUNCTION("""COMPUTED_VALUE"""),"Bronze Fields N, Bronze Fields S (wild)")</f>
        <v>Bronze Fields N, Bronze Fields S (wild)</v>
      </c>
    </row>
    <row r="59" spans="1:25" x14ac:dyDescent="0.25">
      <c r="A59" s="15" t="str">
        <f ca="1">IFERROR(__xludf.DUMMYFUNCTION("""COMPUTED_VALUE"""),"Marowak")</f>
        <v>Marowak</v>
      </c>
      <c r="B59" s="16">
        <f ca="1">IFERROR(__xludf.DUMMYFUNCTION("""COMPUTED_VALUE"""),58)</f>
        <v>58</v>
      </c>
      <c r="C59" s="3" t="str">
        <f ca="1">IFERROR(__xludf.DUMMYFUNCTION("""COMPUTED_VALUE"""),"Ground")</f>
        <v>Ground</v>
      </c>
      <c r="D59" s="3"/>
      <c r="E59" s="17">
        <f ca="1">IFERROR(__xludf.DUMMYFUNCTION("""COMPUTED_VALUE"""),75)</f>
        <v>75</v>
      </c>
      <c r="F59" s="17">
        <f ca="1">IFERROR(__xludf.DUMMYFUNCTION("""COMPUTED_VALUE"""),15)</f>
        <v>15</v>
      </c>
      <c r="G59" s="18">
        <f ca="1">IFERROR(__xludf.DUMMYFUNCTION("""COMPUTED_VALUE"""),80)</f>
        <v>80</v>
      </c>
      <c r="H59" s="18">
        <f ca="1">IFERROR(__xludf.DUMMYFUNCTION("""COMPUTED_VALUE"""),0)</f>
        <v>0</v>
      </c>
      <c r="I59" s="19">
        <f ca="1">IFERROR(__xludf.DUMMYFUNCTION("""COMPUTED_VALUE"""),110)</f>
        <v>110</v>
      </c>
      <c r="J59" s="19">
        <f ca="1">IFERROR(__xludf.DUMMYFUNCTION("""COMPUTED_VALUE"""),0)</f>
        <v>0</v>
      </c>
      <c r="K59" s="20">
        <f ca="1">IFERROR(__xludf.DUMMYFUNCTION("""COMPUTED_VALUE"""),50)</f>
        <v>50</v>
      </c>
      <c r="L59" s="20">
        <f ca="1">IFERROR(__xludf.DUMMYFUNCTION("""COMPUTED_VALUE"""),0)</f>
        <v>0</v>
      </c>
      <c r="M59" s="21">
        <f ca="1">IFERROR(__xludf.DUMMYFUNCTION("""COMPUTED_VALUE"""),85)</f>
        <v>85</v>
      </c>
      <c r="N59" s="21">
        <f ca="1">IFERROR(__xludf.DUMMYFUNCTION("""COMPUTED_VALUE"""),5)</f>
        <v>5</v>
      </c>
      <c r="O59" s="22">
        <f ca="1">IFERROR(__xludf.DUMMYFUNCTION("""COMPUTED_VALUE"""),45)</f>
        <v>45</v>
      </c>
      <c r="P59" s="22">
        <f ca="1">IFERROR(__xludf.DUMMYFUNCTION("""COMPUTED_VALUE"""),0)</f>
        <v>0</v>
      </c>
      <c r="Q59" s="23">
        <f ca="1">IFERROR(__xludf.DUMMYFUNCTION("""COMPUTED_VALUE"""),445)</f>
        <v>445</v>
      </c>
      <c r="R59" s="23">
        <f ca="1">IFERROR(__xludf.DUMMYFUNCTION("""COMPUTED_VALUE"""),20)</f>
        <v>20</v>
      </c>
      <c r="S59" s="24" t="str">
        <f ca="1">IFERROR(__xludf.DUMMYFUNCTION("""COMPUTED_VALUE"""),"Rock Head")</f>
        <v>Rock Head</v>
      </c>
      <c r="T59" s="24" t="str">
        <f ca="1">IFERROR(__xludf.DUMMYFUNCTION("""COMPUTED_VALUE"""),"Skill Link")</f>
        <v>Skill Link</v>
      </c>
      <c r="U59" s="24" t="str">
        <f ca="1">IFERROR(__xludf.DUMMYFUNCTION("""COMPUTED_VALUE"""),"Battle Armor")</f>
        <v>Battle Armor</v>
      </c>
      <c r="V59" s="25" t="str">
        <f ca="1">IFERROR(__xludf.DUMMYFUNCTION("""COMPUTED_VALUE"""),"Lv. 28, Day")</f>
        <v>Lv. 28, Day</v>
      </c>
      <c r="W59" s="25"/>
      <c r="X59" s="25" t="str">
        <f ca="1">IFERROR(__xludf.DUMMYFUNCTION("""COMPUTED_VALUE"""),"Thick Club")</f>
        <v>Thick Club</v>
      </c>
      <c r="Y59" s="25" t="str">
        <f ca="1">IFERROR(__xludf.DUMMYFUNCTION("""COMPUTED_VALUE"""),"Cubone (evolve)")</f>
        <v>Cubone (evolve)</v>
      </c>
    </row>
    <row r="60" spans="1:25" x14ac:dyDescent="0.25">
      <c r="A60" s="15" t="str">
        <f ca="1">IFERROR(__xludf.DUMMYFUNCTION("""COMPUTED_VALUE"""),"Mudbray")</f>
        <v>Mudbray</v>
      </c>
      <c r="B60" s="16">
        <f ca="1">IFERROR(__xludf.DUMMYFUNCTION("""COMPUTED_VALUE"""),59)</f>
        <v>59</v>
      </c>
      <c r="C60" s="3" t="str">
        <f ca="1">IFERROR(__xludf.DUMMYFUNCTION("""COMPUTED_VALUE"""),"Ground")</f>
        <v>Ground</v>
      </c>
      <c r="D60" s="3"/>
      <c r="E60" s="17">
        <f ca="1">IFERROR(__xludf.DUMMYFUNCTION("""COMPUTED_VALUE"""),70)</f>
        <v>70</v>
      </c>
      <c r="F60" s="17">
        <f ca="1">IFERROR(__xludf.DUMMYFUNCTION("""COMPUTED_VALUE"""),0)</f>
        <v>0</v>
      </c>
      <c r="G60" s="18">
        <f ca="1">IFERROR(__xludf.DUMMYFUNCTION("""COMPUTED_VALUE"""),100)</f>
        <v>100</v>
      </c>
      <c r="H60" s="18">
        <f ca="1">IFERROR(__xludf.DUMMYFUNCTION("""COMPUTED_VALUE"""),0)</f>
        <v>0</v>
      </c>
      <c r="I60" s="19">
        <f ca="1">IFERROR(__xludf.DUMMYFUNCTION("""COMPUTED_VALUE"""),70)</f>
        <v>70</v>
      </c>
      <c r="J60" s="19">
        <f ca="1">IFERROR(__xludf.DUMMYFUNCTION("""COMPUTED_VALUE"""),0)</f>
        <v>0</v>
      </c>
      <c r="K60" s="20">
        <f ca="1">IFERROR(__xludf.DUMMYFUNCTION("""COMPUTED_VALUE"""),45)</f>
        <v>45</v>
      </c>
      <c r="L60" s="20">
        <f ca="1">IFERROR(__xludf.DUMMYFUNCTION("""COMPUTED_VALUE"""),0)</f>
        <v>0</v>
      </c>
      <c r="M60" s="21">
        <f ca="1">IFERROR(__xludf.DUMMYFUNCTION("""COMPUTED_VALUE"""),55)</f>
        <v>55</v>
      </c>
      <c r="N60" s="21">
        <f ca="1">IFERROR(__xludf.DUMMYFUNCTION("""COMPUTED_VALUE"""),0)</f>
        <v>0</v>
      </c>
      <c r="O60" s="22">
        <f ca="1">IFERROR(__xludf.DUMMYFUNCTION("""COMPUTED_VALUE"""),45)</f>
        <v>45</v>
      </c>
      <c r="P60" s="22">
        <f ca="1">IFERROR(__xludf.DUMMYFUNCTION("""COMPUTED_VALUE"""),0)</f>
        <v>0</v>
      </c>
      <c r="Q60" s="23">
        <f ca="1">IFERROR(__xludf.DUMMYFUNCTION("""COMPUTED_VALUE"""),385)</f>
        <v>385</v>
      </c>
      <c r="R60" s="23">
        <f ca="1">IFERROR(__xludf.DUMMYFUNCTION("""COMPUTED_VALUE"""),0)</f>
        <v>0</v>
      </c>
      <c r="S60" s="24" t="str">
        <f ca="1">IFERROR(__xludf.DUMMYFUNCTION("""COMPUTED_VALUE"""),"Own Tempo")</f>
        <v>Own Tempo</v>
      </c>
      <c r="T60" s="24" t="str">
        <f ca="1">IFERROR(__xludf.DUMMYFUNCTION("""COMPUTED_VALUE"""),"Stamina")</f>
        <v>Stamina</v>
      </c>
      <c r="U60" s="24" t="str">
        <f ca="1">IFERROR(__xludf.DUMMYFUNCTION("""COMPUTED_VALUE"""),"Inner Focus")</f>
        <v>Inner Focus</v>
      </c>
      <c r="V60" s="25"/>
      <c r="W60" s="25"/>
      <c r="X60" s="25" t="str">
        <f ca="1">IFERROR(__xludf.DUMMYFUNCTION("""COMPUTED_VALUE"""),"Light Clay")</f>
        <v>Light Clay</v>
      </c>
      <c r="Y60" s="25" t="str">
        <f ca="1">IFERROR(__xludf.DUMMYFUNCTION("""COMPUTED_VALUE"""),"Bronze Fields S, Riverwalk Trail N (wild)")</f>
        <v>Bronze Fields S, Riverwalk Trail N (wild)</v>
      </c>
    </row>
    <row r="61" spans="1:25" x14ac:dyDescent="0.25">
      <c r="A61" s="15" t="str">
        <f ca="1">IFERROR(__xludf.DUMMYFUNCTION("""COMPUTED_VALUE"""),"Mudsdale")</f>
        <v>Mudsdale</v>
      </c>
      <c r="B61" s="16">
        <f ca="1">IFERROR(__xludf.DUMMYFUNCTION("""COMPUTED_VALUE"""),60)</f>
        <v>60</v>
      </c>
      <c r="C61" s="3" t="str">
        <f ca="1">IFERROR(__xludf.DUMMYFUNCTION("""COMPUTED_VALUE"""),"Ground")</f>
        <v>Ground</v>
      </c>
      <c r="D61" s="3"/>
      <c r="E61" s="17">
        <f ca="1">IFERROR(__xludf.DUMMYFUNCTION("""COMPUTED_VALUE"""),100)</f>
        <v>100</v>
      </c>
      <c r="F61" s="17">
        <f ca="1">IFERROR(__xludf.DUMMYFUNCTION("""COMPUTED_VALUE"""),0)</f>
        <v>0</v>
      </c>
      <c r="G61" s="18">
        <f ca="1">IFERROR(__xludf.DUMMYFUNCTION("""COMPUTED_VALUE"""),125)</f>
        <v>125</v>
      </c>
      <c r="H61" s="18">
        <f ca="1">IFERROR(__xludf.DUMMYFUNCTION("""COMPUTED_VALUE"""),0)</f>
        <v>0</v>
      </c>
      <c r="I61" s="19">
        <f ca="1">IFERROR(__xludf.DUMMYFUNCTION("""COMPUTED_VALUE"""),100)</f>
        <v>100</v>
      </c>
      <c r="J61" s="19">
        <f ca="1">IFERROR(__xludf.DUMMYFUNCTION("""COMPUTED_VALUE"""),0)</f>
        <v>0</v>
      </c>
      <c r="K61" s="20">
        <f ca="1">IFERROR(__xludf.DUMMYFUNCTION("""COMPUTED_VALUE"""),55)</f>
        <v>55</v>
      </c>
      <c r="L61" s="20">
        <f ca="1">IFERROR(__xludf.DUMMYFUNCTION("""COMPUTED_VALUE"""),0)</f>
        <v>0</v>
      </c>
      <c r="M61" s="21">
        <f ca="1">IFERROR(__xludf.DUMMYFUNCTION("""COMPUTED_VALUE"""),85)</f>
        <v>85</v>
      </c>
      <c r="N61" s="21">
        <f ca="1">IFERROR(__xludf.DUMMYFUNCTION("""COMPUTED_VALUE"""),0)</f>
        <v>0</v>
      </c>
      <c r="O61" s="22">
        <f ca="1">IFERROR(__xludf.DUMMYFUNCTION("""COMPUTED_VALUE"""),35)</f>
        <v>35</v>
      </c>
      <c r="P61" s="22">
        <f ca="1">IFERROR(__xludf.DUMMYFUNCTION("""COMPUTED_VALUE"""),0)</f>
        <v>0</v>
      </c>
      <c r="Q61" s="23">
        <f ca="1">IFERROR(__xludf.DUMMYFUNCTION("""COMPUTED_VALUE"""),500)</f>
        <v>500</v>
      </c>
      <c r="R61" s="23">
        <f ca="1">IFERROR(__xludf.DUMMYFUNCTION("""COMPUTED_VALUE"""),0)</f>
        <v>0</v>
      </c>
      <c r="S61" s="24" t="str">
        <f ca="1">IFERROR(__xludf.DUMMYFUNCTION("""COMPUTED_VALUE"""),"Own Tempo")</f>
        <v>Own Tempo</v>
      </c>
      <c r="T61" s="24" t="str">
        <f ca="1">IFERROR(__xludf.DUMMYFUNCTION("""COMPUTED_VALUE"""),"Stamina")</f>
        <v>Stamina</v>
      </c>
      <c r="U61" s="24" t="str">
        <f ca="1">IFERROR(__xludf.DUMMYFUNCTION("""COMPUTED_VALUE"""),"Inner Focus")</f>
        <v>Inner Focus</v>
      </c>
      <c r="V61" s="25" t="str">
        <f ca="1">IFERROR(__xludf.DUMMYFUNCTION("""COMPUTED_VALUE"""),"Lv. 30")</f>
        <v>Lv. 30</v>
      </c>
      <c r="W61" s="25"/>
      <c r="X61" s="25" t="str">
        <f ca="1">IFERROR(__xludf.DUMMYFUNCTION("""COMPUTED_VALUE"""),"Light Clay")</f>
        <v>Light Clay</v>
      </c>
      <c r="Y61" s="25" t="str">
        <f ca="1">IFERROR(__xludf.DUMMYFUNCTION("""COMPUTED_VALUE"""),"Mudbray (evolve)")</f>
        <v>Mudbray (evolve)</v>
      </c>
    </row>
    <row r="62" spans="1:25" x14ac:dyDescent="0.25">
      <c r="A62" s="15" t="str">
        <f ca="1">IFERROR(__xludf.DUMMYFUNCTION("""COMPUTED_VALUE"""),"Mareep")</f>
        <v>Mareep</v>
      </c>
      <c r="B62" s="16">
        <f ca="1">IFERROR(__xludf.DUMMYFUNCTION("""COMPUTED_VALUE"""),61)</f>
        <v>61</v>
      </c>
      <c r="C62" s="3" t="str">
        <f ca="1">IFERROR(__xludf.DUMMYFUNCTION("""COMPUTED_VALUE"""),"Electric")</f>
        <v>Electric</v>
      </c>
      <c r="D62" s="3"/>
      <c r="E62" s="17">
        <f ca="1">IFERROR(__xludf.DUMMYFUNCTION("""COMPUTED_VALUE"""),55)</f>
        <v>55</v>
      </c>
      <c r="F62" s="17">
        <f ca="1">IFERROR(__xludf.DUMMYFUNCTION("""COMPUTED_VALUE"""),0)</f>
        <v>0</v>
      </c>
      <c r="G62" s="18">
        <f ca="1">IFERROR(__xludf.DUMMYFUNCTION("""COMPUTED_VALUE"""),40)</f>
        <v>40</v>
      </c>
      <c r="H62" s="18">
        <f ca="1">IFERROR(__xludf.DUMMYFUNCTION("""COMPUTED_VALUE"""),0)</f>
        <v>0</v>
      </c>
      <c r="I62" s="19">
        <f ca="1">IFERROR(__xludf.DUMMYFUNCTION("""COMPUTED_VALUE"""),40)</f>
        <v>40</v>
      </c>
      <c r="J62" s="19">
        <f ca="1">IFERROR(__xludf.DUMMYFUNCTION("""COMPUTED_VALUE"""),0)</f>
        <v>0</v>
      </c>
      <c r="K62" s="20">
        <f ca="1">IFERROR(__xludf.DUMMYFUNCTION("""COMPUTED_VALUE"""),65)</f>
        <v>65</v>
      </c>
      <c r="L62" s="20">
        <f ca="1">IFERROR(__xludf.DUMMYFUNCTION("""COMPUTED_VALUE"""),0)</f>
        <v>0</v>
      </c>
      <c r="M62" s="21">
        <f ca="1">IFERROR(__xludf.DUMMYFUNCTION("""COMPUTED_VALUE"""),45)</f>
        <v>45</v>
      </c>
      <c r="N62" s="21">
        <f ca="1">IFERROR(__xludf.DUMMYFUNCTION("""COMPUTED_VALUE"""),0)</f>
        <v>0</v>
      </c>
      <c r="O62" s="22">
        <f ca="1">IFERROR(__xludf.DUMMYFUNCTION("""COMPUTED_VALUE"""),35)</f>
        <v>35</v>
      </c>
      <c r="P62" s="22">
        <f ca="1">IFERROR(__xludf.DUMMYFUNCTION("""COMPUTED_VALUE"""),0)</f>
        <v>0</v>
      </c>
      <c r="Q62" s="23">
        <f ca="1">IFERROR(__xludf.DUMMYFUNCTION("""COMPUTED_VALUE"""),280)</f>
        <v>280</v>
      </c>
      <c r="R62" s="23">
        <f ca="1">IFERROR(__xludf.DUMMYFUNCTION("""COMPUTED_VALUE"""),0)</f>
        <v>0</v>
      </c>
      <c r="S62" s="24" t="str">
        <f ca="1">IFERROR(__xludf.DUMMYFUNCTION("""COMPUTED_VALUE"""),"Static")</f>
        <v>Static</v>
      </c>
      <c r="T62" s="24" t="str">
        <f ca="1">IFERROR(__xludf.DUMMYFUNCTION("""COMPUTED_VALUE"""),"Illuminate")</f>
        <v>Illuminate</v>
      </c>
      <c r="U62" s="24" t="str">
        <f ca="1">IFERROR(__xludf.DUMMYFUNCTION("""COMPUTED_VALUE"""),"Dazzling")</f>
        <v>Dazzling</v>
      </c>
      <c r="V62" s="25"/>
      <c r="W62" s="25"/>
      <c r="X62" s="25"/>
      <c r="Y62" s="25" t="str">
        <f ca="1">IFERROR(__xludf.DUMMYFUNCTION("""COMPUTED_VALUE"""),"Bronze Fields S (wild)")</f>
        <v>Bronze Fields S (wild)</v>
      </c>
    </row>
    <row r="63" spans="1:25" x14ac:dyDescent="0.25">
      <c r="A63" s="15" t="str">
        <f ca="1">IFERROR(__xludf.DUMMYFUNCTION("""COMPUTED_VALUE"""),"Flaaffy")</f>
        <v>Flaaffy</v>
      </c>
      <c r="B63" s="16">
        <f ca="1">IFERROR(__xludf.DUMMYFUNCTION("""COMPUTED_VALUE"""),62)</f>
        <v>62</v>
      </c>
      <c r="C63" s="3" t="str">
        <f ca="1">IFERROR(__xludf.DUMMYFUNCTION("""COMPUTED_VALUE"""),"Electric")</f>
        <v>Electric</v>
      </c>
      <c r="D63" s="3"/>
      <c r="E63" s="17">
        <f ca="1">IFERROR(__xludf.DUMMYFUNCTION("""COMPUTED_VALUE"""),70)</f>
        <v>70</v>
      </c>
      <c r="F63" s="17">
        <f ca="1">IFERROR(__xludf.DUMMYFUNCTION("""COMPUTED_VALUE"""),0)</f>
        <v>0</v>
      </c>
      <c r="G63" s="18">
        <f ca="1">IFERROR(__xludf.DUMMYFUNCTION("""COMPUTED_VALUE"""),55)</f>
        <v>55</v>
      </c>
      <c r="H63" s="18">
        <f ca="1">IFERROR(__xludf.DUMMYFUNCTION("""COMPUTED_VALUE"""),0)</f>
        <v>0</v>
      </c>
      <c r="I63" s="19">
        <f ca="1">IFERROR(__xludf.DUMMYFUNCTION("""COMPUTED_VALUE"""),55)</f>
        <v>55</v>
      </c>
      <c r="J63" s="19">
        <f ca="1">IFERROR(__xludf.DUMMYFUNCTION("""COMPUTED_VALUE"""),0)</f>
        <v>0</v>
      </c>
      <c r="K63" s="20">
        <f ca="1">IFERROR(__xludf.DUMMYFUNCTION("""COMPUTED_VALUE"""),80)</f>
        <v>80</v>
      </c>
      <c r="L63" s="20">
        <f ca="1">IFERROR(__xludf.DUMMYFUNCTION("""COMPUTED_VALUE"""),0)</f>
        <v>0</v>
      </c>
      <c r="M63" s="21">
        <f ca="1">IFERROR(__xludf.DUMMYFUNCTION("""COMPUTED_VALUE"""),60)</f>
        <v>60</v>
      </c>
      <c r="N63" s="21">
        <f ca="1">IFERROR(__xludf.DUMMYFUNCTION("""COMPUTED_VALUE"""),0)</f>
        <v>0</v>
      </c>
      <c r="O63" s="22">
        <f ca="1">IFERROR(__xludf.DUMMYFUNCTION("""COMPUTED_VALUE"""),45)</f>
        <v>45</v>
      </c>
      <c r="P63" s="22">
        <f ca="1">IFERROR(__xludf.DUMMYFUNCTION("""COMPUTED_VALUE"""),0)</f>
        <v>0</v>
      </c>
      <c r="Q63" s="23">
        <f ca="1">IFERROR(__xludf.DUMMYFUNCTION("""COMPUTED_VALUE"""),365)</f>
        <v>365</v>
      </c>
      <c r="R63" s="23">
        <f ca="1">IFERROR(__xludf.DUMMYFUNCTION("""COMPUTED_VALUE"""),0)</f>
        <v>0</v>
      </c>
      <c r="S63" s="24" t="str">
        <f ca="1">IFERROR(__xludf.DUMMYFUNCTION("""COMPUTED_VALUE"""),"Static")</f>
        <v>Static</v>
      </c>
      <c r="T63" s="24" t="str">
        <f ca="1">IFERROR(__xludf.DUMMYFUNCTION("""COMPUTED_VALUE"""),"Illuminate")</f>
        <v>Illuminate</v>
      </c>
      <c r="U63" s="24" t="str">
        <f ca="1">IFERROR(__xludf.DUMMYFUNCTION("""COMPUTED_VALUE"""),"Dazzling")</f>
        <v>Dazzling</v>
      </c>
      <c r="V63" s="25" t="str">
        <f ca="1">IFERROR(__xludf.DUMMYFUNCTION("""COMPUTED_VALUE"""),"Lv. 15")</f>
        <v>Lv. 15</v>
      </c>
      <c r="W63" s="25"/>
      <c r="X63" s="25"/>
      <c r="Y63" s="25" t="str">
        <f ca="1">IFERROR(__xludf.DUMMYFUNCTION("""COMPUTED_VALUE"""),"Mareep (evolve)")</f>
        <v>Mareep (evolve)</v>
      </c>
    </row>
    <row r="64" spans="1:25" x14ac:dyDescent="0.25">
      <c r="A64" s="15" t="str">
        <f ca="1">IFERROR(__xludf.DUMMYFUNCTION("""COMPUTED_VALUE"""),"Ampharos")</f>
        <v>Ampharos</v>
      </c>
      <c r="B64" s="16">
        <f ca="1">IFERROR(__xludf.DUMMYFUNCTION("""COMPUTED_VALUE"""),63)</f>
        <v>63</v>
      </c>
      <c r="C64" s="3" t="str">
        <f ca="1">IFERROR(__xludf.DUMMYFUNCTION("""COMPUTED_VALUE"""),"Electric")</f>
        <v>Electric</v>
      </c>
      <c r="D64" s="3"/>
      <c r="E64" s="17">
        <f ca="1">IFERROR(__xludf.DUMMYFUNCTION("""COMPUTED_VALUE"""),90)</f>
        <v>90</v>
      </c>
      <c r="F64" s="17">
        <f ca="1">IFERROR(__xludf.DUMMYFUNCTION("""COMPUTED_VALUE"""),0)</f>
        <v>0</v>
      </c>
      <c r="G64" s="18">
        <f ca="1">IFERROR(__xludf.DUMMYFUNCTION("""COMPUTED_VALUE"""),75)</f>
        <v>75</v>
      </c>
      <c r="H64" s="18">
        <f ca="1">IFERROR(__xludf.DUMMYFUNCTION("""COMPUTED_VALUE"""),0)</f>
        <v>0</v>
      </c>
      <c r="I64" s="19">
        <f ca="1">IFERROR(__xludf.DUMMYFUNCTION("""COMPUTED_VALUE"""),85)</f>
        <v>85</v>
      </c>
      <c r="J64" s="19">
        <f ca="1">IFERROR(__xludf.DUMMYFUNCTION("""COMPUTED_VALUE"""),0)</f>
        <v>0</v>
      </c>
      <c r="K64" s="20">
        <f ca="1">IFERROR(__xludf.DUMMYFUNCTION("""COMPUTED_VALUE"""),115)</f>
        <v>115</v>
      </c>
      <c r="L64" s="20">
        <f ca="1">IFERROR(__xludf.DUMMYFUNCTION("""COMPUTED_VALUE"""),0)</f>
        <v>0</v>
      </c>
      <c r="M64" s="21">
        <f ca="1">IFERROR(__xludf.DUMMYFUNCTION("""COMPUTED_VALUE"""),90)</f>
        <v>90</v>
      </c>
      <c r="N64" s="21">
        <f ca="1">IFERROR(__xludf.DUMMYFUNCTION("""COMPUTED_VALUE"""),0)</f>
        <v>0</v>
      </c>
      <c r="O64" s="22">
        <f ca="1">IFERROR(__xludf.DUMMYFUNCTION("""COMPUTED_VALUE"""),55)</f>
        <v>55</v>
      </c>
      <c r="P64" s="22">
        <f ca="1">IFERROR(__xludf.DUMMYFUNCTION("""COMPUTED_VALUE"""),0)</f>
        <v>0</v>
      </c>
      <c r="Q64" s="23">
        <f ca="1">IFERROR(__xludf.DUMMYFUNCTION("""COMPUTED_VALUE"""),510)</f>
        <v>510</v>
      </c>
      <c r="R64" s="23">
        <f ca="1">IFERROR(__xludf.DUMMYFUNCTION("""COMPUTED_VALUE"""),0)</f>
        <v>0</v>
      </c>
      <c r="S64" s="24" t="str">
        <f ca="1">IFERROR(__xludf.DUMMYFUNCTION("""COMPUTED_VALUE"""),"Static")</f>
        <v>Static</v>
      </c>
      <c r="T64" s="24" t="str">
        <f ca="1">IFERROR(__xludf.DUMMYFUNCTION("""COMPUTED_VALUE"""),"Illuminate")</f>
        <v>Illuminate</v>
      </c>
      <c r="U64" s="24" t="str">
        <f ca="1">IFERROR(__xludf.DUMMYFUNCTION("""COMPUTED_VALUE"""),"Dazzling")</f>
        <v>Dazzling</v>
      </c>
      <c r="V64" s="25" t="str">
        <f ca="1">IFERROR(__xludf.DUMMYFUNCTION("""COMPUTED_VALUE"""),"Lv. 30")</f>
        <v>Lv. 30</v>
      </c>
      <c r="W64" s="25"/>
      <c r="X64" s="25"/>
      <c r="Y64" s="25" t="str">
        <f ca="1">IFERROR(__xludf.DUMMYFUNCTION("""COMPUTED_VALUE"""),"Flaaffy (evolve)")</f>
        <v>Flaaffy (evolve)</v>
      </c>
    </row>
    <row r="65" spans="1:25" x14ac:dyDescent="0.25">
      <c r="A65" s="15" t="str">
        <f ca="1">IFERROR(__xludf.DUMMYFUNCTION("""COMPUTED_VALUE"""),"Applin")</f>
        <v>Applin</v>
      </c>
      <c r="B65" s="16">
        <f ca="1">IFERROR(__xludf.DUMMYFUNCTION("""COMPUTED_VALUE"""),64)</f>
        <v>64</v>
      </c>
      <c r="C65" s="3" t="str">
        <f ca="1">IFERROR(__xludf.DUMMYFUNCTION("""COMPUTED_VALUE"""),"Grass")</f>
        <v>Grass</v>
      </c>
      <c r="D65" s="3" t="str">
        <f ca="1">IFERROR(__xludf.DUMMYFUNCTION("""COMPUTED_VALUE"""),"Dragon")</f>
        <v>Dragon</v>
      </c>
      <c r="E65" s="17">
        <f ca="1">IFERROR(__xludf.DUMMYFUNCTION("""COMPUTED_VALUE"""),40)</f>
        <v>40</v>
      </c>
      <c r="F65" s="17">
        <f ca="1">IFERROR(__xludf.DUMMYFUNCTION("""COMPUTED_VALUE"""),0)</f>
        <v>0</v>
      </c>
      <c r="G65" s="18">
        <f ca="1">IFERROR(__xludf.DUMMYFUNCTION("""COMPUTED_VALUE"""),40)</f>
        <v>40</v>
      </c>
      <c r="H65" s="18">
        <f ca="1">IFERROR(__xludf.DUMMYFUNCTION("""COMPUTED_VALUE"""),0)</f>
        <v>0</v>
      </c>
      <c r="I65" s="19">
        <f ca="1">IFERROR(__xludf.DUMMYFUNCTION("""COMPUTED_VALUE"""),80)</f>
        <v>80</v>
      </c>
      <c r="J65" s="19">
        <f ca="1">IFERROR(__xludf.DUMMYFUNCTION("""COMPUTED_VALUE"""),0)</f>
        <v>0</v>
      </c>
      <c r="K65" s="20">
        <f ca="1">IFERROR(__xludf.DUMMYFUNCTION("""COMPUTED_VALUE"""),40)</f>
        <v>40</v>
      </c>
      <c r="L65" s="20">
        <f ca="1">IFERROR(__xludf.DUMMYFUNCTION("""COMPUTED_VALUE"""),0)</f>
        <v>0</v>
      </c>
      <c r="M65" s="21">
        <f ca="1">IFERROR(__xludf.DUMMYFUNCTION("""COMPUTED_VALUE"""),40)</f>
        <v>40</v>
      </c>
      <c r="N65" s="21">
        <f ca="1">IFERROR(__xludf.DUMMYFUNCTION("""COMPUTED_VALUE"""),0)</f>
        <v>0</v>
      </c>
      <c r="O65" s="22">
        <f ca="1">IFERROR(__xludf.DUMMYFUNCTION("""COMPUTED_VALUE"""),20)</f>
        <v>20</v>
      </c>
      <c r="P65" s="22">
        <f ca="1">IFERROR(__xludf.DUMMYFUNCTION("""COMPUTED_VALUE"""),0)</f>
        <v>0</v>
      </c>
      <c r="Q65" s="23">
        <f ca="1">IFERROR(__xludf.DUMMYFUNCTION("""COMPUTED_VALUE"""),260)</f>
        <v>260</v>
      </c>
      <c r="R65" s="23">
        <f ca="1">IFERROR(__xludf.DUMMYFUNCTION("""COMPUTED_VALUE"""),0)</f>
        <v>0</v>
      </c>
      <c r="S65" s="24" t="str">
        <f ca="1">IFERROR(__xludf.DUMMYFUNCTION("""COMPUTED_VALUE"""),"Ripen")</f>
        <v>Ripen</v>
      </c>
      <c r="T65" s="24" t="str">
        <f ca="1">IFERROR(__xludf.DUMMYFUNCTION("""COMPUTED_VALUE"""),"Gluttony")</f>
        <v>Gluttony</v>
      </c>
      <c r="U65" s="24" t="str">
        <f ca="1">IFERROR(__xludf.DUMMYFUNCTION("""COMPUTED_VALUE"""),"Bulletproof")</f>
        <v>Bulletproof</v>
      </c>
      <c r="V65" s="25"/>
      <c r="W65" s="25"/>
      <c r="X65" s="25"/>
      <c r="Y65" s="25" t="str">
        <f ca="1">IFERROR(__xludf.DUMMYFUNCTION("""COMPUTED_VALUE"""),"Kalami City, Wanderer`s Woods (wild)")</f>
        <v>Kalami City, Wanderer`s Woods (wild)</v>
      </c>
    </row>
    <row r="66" spans="1:25" x14ac:dyDescent="0.25">
      <c r="A66" s="15" t="str">
        <f ca="1">IFERROR(__xludf.DUMMYFUNCTION("""COMPUTED_VALUE"""),"Flapple")</f>
        <v>Flapple</v>
      </c>
      <c r="B66" s="16">
        <f ca="1">IFERROR(__xludf.DUMMYFUNCTION("""COMPUTED_VALUE"""),65)</f>
        <v>65</v>
      </c>
      <c r="C66" s="3" t="str">
        <f ca="1">IFERROR(__xludf.DUMMYFUNCTION("""COMPUTED_VALUE"""),"Grass")</f>
        <v>Grass</v>
      </c>
      <c r="D66" s="3" t="str">
        <f ca="1">IFERROR(__xludf.DUMMYFUNCTION("""COMPUTED_VALUE"""),"Dragon")</f>
        <v>Dragon</v>
      </c>
      <c r="E66" s="17">
        <f ca="1">IFERROR(__xludf.DUMMYFUNCTION("""COMPUTED_VALUE"""),70)</f>
        <v>70</v>
      </c>
      <c r="F66" s="17">
        <f ca="1">IFERROR(__xludf.DUMMYFUNCTION("""COMPUTED_VALUE"""),0)</f>
        <v>0</v>
      </c>
      <c r="G66" s="18">
        <f ca="1">IFERROR(__xludf.DUMMYFUNCTION("""COMPUTED_VALUE"""),114)</f>
        <v>114</v>
      </c>
      <c r="H66" s="18">
        <f ca="1">IFERROR(__xludf.DUMMYFUNCTION("""COMPUTED_VALUE"""),4)</f>
        <v>4</v>
      </c>
      <c r="I66" s="19">
        <f ca="1">IFERROR(__xludf.DUMMYFUNCTION("""COMPUTED_VALUE"""),80)</f>
        <v>80</v>
      </c>
      <c r="J66" s="19">
        <f ca="1">IFERROR(__xludf.DUMMYFUNCTION("""COMPUTED_VALUE"""),0)</f>
        <v>0</v>
      </c>
      <c r="K66" s="20">
        <f ca="1">IFERROR(__xludf.DUMMYFUNCTION("""COMPUTED_VALUE"""),95)</f>
        <v>95</v>
      </c>
      <c r="L66" s="20">
        <f ca="1">IFERROR(__xludf.DUMMYFUNCTION("""COMPUTED_VALUE"""),0)</f>
        <v>0</v>
      </c>
      <c r="M66" s="21">
        <f ca="1">IFERROR(__xludf.DUMMYFUNCTION("""COMPUTED_VALUE"""),60)</f>
        <v>60</v>
      </c>
      <c r="N66" s="21">
        <f ca="1">IFERROR(__xludf.DUMMYFUNCTION("""COMPUTED_VALUE"""),0)</f>
        <v>0</v>
      </c>
      <c r="O66" s="22">
        <f ca="1">IFERROR(__xludf.DUMMYFUNCTION("""COMPUTED_VALUE"""),91)</f>
        <v>91</v>
      </c>
      <c r="P66" s="22">
        <f ca="1">IFERROR(__xludf.DUMMYFUNCTION("""COMPUTED_VALUE"""),21)</f>
        <v>21</v>
      </c>
      <c r="Q66" s="23">
        <f ca="1">IFERROR(__xludf.DUMMYFUNCTION("""COMPUTED_VALUE"""),510)</f>
        <v>510</v>
      </c>
      <c r="R66" s="23">
        <f ca="1">IFERROR(__xludf.DUMMYFUNCTION("""COMPUTED_VALUE"""),25)</f>
        <v>25</v>
      </c>
      <c r="S66" s="24" t="str">
        <f ca="1">IFERROR(__xludf.DUMMYFUNCTION("""COMPUTED_VALUE"""),"Ripen")</f>
        <v>Ripen</v>
      </c>
      <c r="T66" s="24" t="str">
        <f ca="1">IFERROR(__xludf.DUMMYFUNCTION("""COMPUTED_VALUE"""),"Gluttony")</f>
        <v>Gluttony</v>
      </c>
      <c r="U66" s="24" t="str">
        <f ca="1">IFERROR(__xludf.DUMMYFUNCTION("""COMPUTED_VALUE"""),"Poison Touch")</f>
        <v>Poison Touch</v>
      </c>
      <c r="V66" s="25" t="str">
        <f ca="1">IFERROR(__xludf.DUMMYFUNCTION("""COMPUTED_VALUE"""),"Tart Apple")</f>
        <v>Tart Apple</v>
      </c>
      <c r="W66" s="25"/>
      <c r="X66" s="25"/>
      <c r="Y66" s="25" t="str">
        <f ca="1">IFERROR(__xludf.DUMMYFUNCTION("""COMPUTED_VALUE"""),"Applin (evolve)")</f>
        <v>Applin (evolve)</v>
      </c>
    </row>
    <row r="67" spans="1:25" x14ac:dyDescent="0.25">
      <c r="A67" s="15" t="str">
        <f ca="1">IFERROR(__xludf.DUMMYFUNCTION("""COMPUTED_VALUE"""),"Appletun")</f>
        <v>Appletun</v>
      </c>
      <c r="B67" s="16">
        <f ca="1">IFERROR(__xludf.DUMMYFUNCTION("""COMPUTED_VALUE"""),66)</f>
        <v>66</v>
      </c>
      <c r="C67" s="3" t="str">
        <f ca="1">IFERROR(__xludf.DUMMYFUNCTION("""COMPUTED_VALUE"""),"Grass")</f>
        <v>Grass</v>
      </c>
      <c r="D67" s="3" t="str">
        <f ca="1">IFERROR(__xludf.DUMMYFUNCTION("""COMPUTED_VALUE"""),"Dragon")</f>
        <v>Dragon</v>
      </c>
      <c r="E67" s="17">
        <f ca="1">IFERROR(__xludf.DUMMYFUNCTION("""COMPUTED_VALUE"""),125)</f>
        <v>125</v>
      </c>
      <c r="F67" s="17">
        <f ca="1">IFERROR(__xludf.DUMMYFUNCTION("""COMPUTED_VALUE"""),15)</f>
        <v>15</v>
      </c>
      <c r="G67" s="18">
        <f ca="1">IFERROR(__xludf.DUMMYFUNCTION("""COMPUTED_VALUE"""),85)</f>
        <v>85</v>
      </c>
      <c r="H67" s="18">
        <f ca="1">IFERROR(__xludf.DUMMYFUNCTION("""COMPUTED_VALUE"""),0)</f>
        <v>0</v>
      </c>
      <c r="I67" s="19">
        <f ca="1">IFERROR(__xludf.DUMMYFUNCTION("""COMPUTED_VALUE"""),85)</f>
        <v>85</v>
      </c>
      <c r="J67" s="19">
        <f ca="1">IFERROR(__xludf.DUMMYFUNCTION("""COMPUTED_VALUE"""),5)</f>
        <v>5</v>
      </c>
      <c r="K67" s="20">
        <f ca="1">IFERROR(__xludf.DUMMYFUNCTION("""COMPUTED_VALUE"""),100)</f>
        <v>100</v>
      </c>
      <c r="L67" s="20">
        <f ca="1">IFERROR(__xludf.DUMMYFUNCTION("""COMPUTED_VALUE"""),0)</f>
        <v>0</v>
      </c>
      <c r="M67" s="21">
        <f ca="1">IFERROR(__xludf.DUMMYFUNCTION("""COMPUTED_VALUE"""),85)</f>
        <v>85</v>
      </c>
      <c r="N67" s="21">
        <f ca="1">IFERROR(__xludf.DUMMYFUNCTION("""COMPUTED_VALUE"""),5)</f>
        <v>5</v>
      </c>
      <c r="O67" s="22">
        <f ca="1">IFERROR(__xludf.DUMMYFUNCTION("""COMPUTED_VALUE"""),30)</f>
        <v>30</v>
      </c>
      <c r="P67" s="22">
        <f ca="1">IFERROR(__xludf.DUMMYFUNCTION("""COMPUTED_VALUE"""),0)</f>
        <v>0</v>
      </c>
      <c r="Q67" s="23">
        <f ca="1">IFERROR(__xludf.DUMMYFUNCTION("""COMPUTED_VALUE"""),510)</f>
        <v>510</v>
      </c>
      <c r="R67" s="23">
        <f ca="1">IFERROR(__xludf.DUMMYFUNCTION("""COMPUTED_VALUE"""),25)</f>
        <v>25</v>
      </c>
      <c r="S67" s="24" t="str">
        <f ca="1">IFERROR(__xludf.DUMMYFUNCTION("""COMPUTED_VALUE"""),"Ripen")</f>
        <v>Ripen</v>
      </c>
      <c r="T67" s="24" t="str">
        <f ca="1">IFERROR(__xludf.DUMMYFUNCTION("""COMPUTED_VALUE"""),"Gluttony")</f>
        <v>Gluttony</v>
      </c>
      <c r="U67" s="24" t="str">
        <f ca="1">IFERROR(__xludf.DUMMYFUNCTION("""COMPUTED_VALUE"""),"Thick Layers")</f>
        <v>Thick Layers</v>
      </c>
      <c r="V67" s="25" t="str">
        <f ca="1">IFERROR(__xludf.DUMMYFUNCTION("""COMPUTED_VALUE"""),"Sweet Apple")</f>
        <v>Sweet Apple</v>
      </c>
      <c r="W67" s="25"/>
      <c r="X67" s="25"/>
      <c r="Y67" s="25" t="str">
        <f ca="1">IFERROR(__xludf.DUMMYFUNCTION("""COMPUTED_VALUE"""),"Applin (evolve)")</f>
        <v>Applin (evolve)</v>
      </c>
    </row>
    <row r="68" spans="1:25" x14ac:dyDescent="0.25">
      <c r="A68" s="15" t="str">
        <f ca="1">IFERROR(__xludf.DUMMYFUNCTION("""COMPUTED_VALUE"""),"Dipplin")</f>
        <v>Dipplin</v>
      </c>
      <c r="B68" s="16">
        <f ca="1">IFERROR(__xludf.DUMMYFUNCTION("""COMPUTED_VALUE"""),67)</f>
        <v>67</v>
      </c>
      <c r="C68" s="3" t="str">
        <f ca="1">IFERROR(__xludf.DUMMYFUNCTION("""COMPUTED_VALUE"""),"Grass")</f>
        <v>Grass</v>
      </c>
      <c r="D68" s="3" t="str">
        <f ca="1">IFERROR(__xludf.DUMMYFUNCTION("""COMPUTED_VALUE"""),"Dragon")</f>
        <v>Dragon</v>
      </c>
      <c r="E68" s="17">
        <f ca="1">IFERROR(__xludf.DUMMYFUNCTION("""COMPUTED_VALUE"""),90)</f>
        <v>90</v>
      </c>
      <c r="F68" s="17">
        <f ca="1">IFERROR(__xludf.DUMMYFUNCTION("""COMPUTED_VALUE"""),10)</f>
        <v>10</v>
      </c>
      <c r="G68" s="18">
        <f ca="1">IFERROR(__xludf.DUMMYFUNCTION("""COMPUTED_VALUE"""),80)</f>
        <v>80</v>
      </c>
      <c r="H68" s="18">
        <f ca="1">IFERROR(__xludf.DUMMYFUNCTION("""COMPUTED_VALUE"""),0)</f>
        <v>0</v>
      </c>
      <c r="I68" s="19">
        <f ca="1">IFERROR(__xludf.DUMMYFUNCTION("""COMPUTED_VALUE"""),110)</f>
        <v>110</v>
      </c>
      <c r="J68" s="19">
        <f ca="1">IFERROR(__xludf.DUMMYFUNCTION("""COMPUTED_VALUE"""),0)</f>
        <v>0</v>
      </c>
      <c r="K68" s="20">
        <f ca="1">IFERROR(__xludf.DUMMYFUNCTION("""COMPUTED_VALUE"""),95)</f>
        <v>95</v>
      </c>
      <c r="L68" s="20">
        <f ca="1">IFERROR(__xludf.DUMMYFUNCTION("""COMPUTED_VALUE"""),0)</f>
        <v>0</v>
      </c>
      <c r="M68" s="21">
        <f ca="1">IFERROR(__xludf.DUMMYFUNCTION("""COMPUTED_VALUE"""),80)</f>
        <v>80</v>
      </c>
      <c r="N68" s="21">
        <f ca="1">IFERROR(__xludf.DUMMYFUNCTION("""COMPUTED_VALUE"""),0)</f>
        <v>0</v>
      </c>
      <c r="O68" s="22">
        <f ca="1">IFERROR(__xludf.DUMMYFUNCTION("""COMPUTED_VALUE"""),40)</f>
        <v>40</v>
      </c>
      <c r="P68" s="22">
        <f ca="1">IFERROR(__xludf.DUMMYFUNCTION("""COMPUTED_VALUE"""),0)</f>
        <v>0</v>
      </c>
      <c r="Q68" s="23">
        <f ca="1">IFERROR(__xludf.DUMMYFUNCTION("""COMPUTED_VALUE"""),495)</f>
        <v>495</v>
      </c>
      <c r="R68" s="23">
        <f ca="1">IFERROR(__xludf.DUMMYFUNCTION("""COMPUTED_VALUE"""),10)</f>
        <v>10</v>
      </c>
      <c r="S68" s="24" t="str">
        <f ca="1">IFERROR(__xludf.DUMMYFUNCTION("""COMPUTED_VALUE"""),"Supersweet Syrup")</f>
        <v>Supersweet Syrup</v>
      </c>
      <c r="T68" s="24" t="str">
        <f ca="1">IFERROR(__xludf.DUMMYFUNCTION("""COMPUTED_VALUE"""),"Gluttony")</f>
        <v>Gluttony</v>
      </c>
      <c r="U68" s="24" t="str">
        <f ca="1">IFERROR(__xludf.DUMMYFUNCTION("""COMPUTED_VALUE"""),"Sticky Hold")</f>
        <v>Sticky Hold</v>
      </c>
      <c r="V68" s="25" t="str">
        <f ca="1">IFERROR(__xludf.DUMMYFUNCTION("""COMPUTED_VALUE"""),"Syrupy Apple")</f>
        <v>Syrupy Apple</v>
      </c>
      <c r="W68" s="25"/>
      <c r="X68" s="25"/>
      <c r="Y68" s="25" t="str">
        <f ca="1">IFERROR(__xludf.DUMMYFUNCTION("""COMPUTED_VALUE"""),"Applin (evolve)")</f>
        <v>Applin (evolve)</v>
      </c>
    </row>
    <row r="69" spans="1:25" x14ac:dyDescent="0.25">
      <c r="A69" s="15" t="str">
        <f ca="1">IFERROR(__xludf.DUMMYFUNCTION("""COMPUTED_VALUE"""),"Hydrapple")</f>
        <v>Hydrapple</v>
      </c>
      <c r="B69" s="16">
        <f ca="1">IFERROR(__xludf.DUMMYFUNCTION("""COMPUTED_VALUE"""),68)</f>
        <v>68</v>
      </c>
      <c r="C69" s="3" t="str">
        <f ca="1">IFERROR(__xludf.DUMMYFUNCTION("""COMPUTED_VALUE"""),"Grass")</f>
        <v>Grass</v>
      </c>
      <c r="D69" s="3" t="str">
        <f ca="1">IFERROR(__xludf.DUMMYFUNCTION("""COMPUTED_VALUE"""),"Dragon")</f>
        <v>Dragon</v>
      </c>
      <c r="E69" s="17">
        <f ca="1">IFERROR(__xludf.DUMMYFUNCTION("""COMPUTED_VALUE"""),116)</f>
        <v>116</v>
      </c>
      <c r="F69" s="17">
        <f ca="1">IFERROR(__xludf.DUMMYFUNCTION("""COMPUTED_VALUE"""),10)</f>
        <v>10</v>
      </c>
      <c r="G69" s="18">
        <f ca="1">IFERROR(__xludf.DUMMYFUNCTION("""COMPUTED_VALUE"""),80)</f>
        <v>80</v>
      </c>
      <c r="H69" s="18">
        <f ca="1">IFERROR(__xludf.DUMMYFUNCTION("""COMPUTED_VALUE"""),0)</f>
        <v>0</v>
      </c>
      <c r="I69" s="19">
        <f ca="1">IFERROR(__xludf.DUMMYFUNCTION("""COMPUTED_VALUE"""),110)</f>
        <v>110</v>
      </c>
      <c r="J69" s="19">
        <f ca="1">IFERROR(__xludf.DUMMYFUNCTION("""COMPUTED_VALUE"""),0)</f>
        <v>0</v>
      </c>
      <c r="K69" s="20">
        <f ca="1">IFERROR(__xludf.DUMMYFUNCTION("""COMPUTED_VALUE"""),120)</f>
        <v>120</v>
      </c>
      <c r="L69" s="20">
        <f ca="1">IFERROR(__xludf.DUMMYFUNCTION("""COMPUTED_VALUE"""),0)</f>
        <v>0</v>
      </c>
      <c r="M69" s="21">
        <f ca="1">IFERROR(__xludf.DUMMYFUNCTION("""COMPUTED_VALUE"""),80)</f>
        <v>80</v>
      </c>
      <c r="N69" s="21">
        <f ca="1">IFERROR(__xludf.DUMMYFUNCTION("""COMPUTED_VALUE"""),0)</f>
        <v>0</v>
      </c>
      <c r="O69" s="22">
        <f ca="1">IFERROR(__xludf.DUMMYFUNCTION("""COMPUTED_VALUE"""),44)</f>
        <v>44</v>
      </c>
      <c r="P69" s="22">
        <f ca="1">IFERROR(__xludf.DUMMYFUNCTION("""COMPUTED_VALUE"""),0)</f>
        <v>0</v>
      </c>
      <c r="Q69" s="23">
        <f ca="1">IFERROR(__xludf.DUMMYFUNCTION("""COMPUTED_VALUE"""),550)</f>
        <v>550</v>
      </c>
      <c r="R69" s="23">
        <f ca="1">IFERROR(__xludf.DUMMYFUNCTION("""COMPUTED_VALUE"""),10)</f>
        <v>10</v>
      </c>
      <c r="S69" s="24" t="str">
        <f ca="1">IFERROR(__xludf.DUMMYFUNCTION("""COMPUTED_VALUE"""),"Supersweet Syrup")</f>
        <v>Supersweet Syrup</v>
      </c>
      <c r="T69" s="24" t="str">
        <f ca="1">IFERROR(__xludf.DUMMYFUNCTION("""COMPUTED_VALUE"""),"Regenerator")</f>
        <v>Regenerator</v>
      </c>
      <c r="U69" s="24" t="str">
        <f ca="1">IFERROR(__xludf.DUMMYFUNCTION("""COMPUTED_VALUE"""),"Sticky Hold")</f>
        <v>Sticky Hold</v>
      </c>
      <c r="V69" s="25" t="str">
        <f ca="1">IFERROR(__xludf.DUMMYFUNCTION("""COMPUTED_VALUE"""),"Lv. 40")</f>
        <v>Lv. 40</v>
      </c>
      <c r="W69" s="25"/>
      <c r="X69" s="25"/>
      <c r="Y69" s="25" t="str">
        <f ca="1">IFERROR(__xludf.DUMMYFUNCTION("""COMPUTED_VALUE"""),"Dipplin (evolve)")</f>
        <v>Dipplin (evolve)</v>
      </c>
    </row>
    <row r="70" spans="1:25" x14ac:dyDescent="0.25">
      <c r="A70" s="15" t="str">
        <f ca="1">IFERROR(__xludf.DUMMYFUNCTION("""COMPUTED_VALUE"""),"Cutiefly")</f>
        <v>Cutiefly</v>
      </c>
      <c r="B70" s="16">
        <f ca="1">IFERROR(__xludf.DUMMYFUNCTION("""COMPUTED_VALUE"""),69)</f>
        <v>69</v>
      </c>
      <c r="C70" s="3" t="str">
        <f ca="1">IFERROR(__xludf.DUMMYFUNCTION("""COMPUTED_VALUE"""),"Bug")</f>
        <v>Bug</v>
      </c>
      <c r="D70" s="3" t="str">
        <f ca="1">IFERROR(__xludf.DUMMYFUNCTION("""COMPUTED_VALUE"""),"Fairy")</f>
        <v>Fairy</v>
      </c>
      <c r="E70" s="17">
        <f ca="1">IFERROR(__xludf.DUMMYFUNCTION("""COMPUTED_VALUE"""),40)</f>
        <v>40</v>
      </c>
      <c r="F70" s="17">
        <f ca="1">IFERROR(__xludf.DUMMYFUNCTION("""COMPUTED_VALUE"""),0)</f>
        <v>0</v>
      </c>
      <c r="G70" s="18">
        <f ca="1">IFERROR(__xludf.DUMMYFUNCTION("""COMPUTED_VALUE"""),45)</f>
        <v>45</v>
      </c>
      <c r="H70" s="18">
        <f ca="1">IFERROR(__xludf.DUMMYFUNCTION("""COMPUTED_VALUE"""),0)</f>
        <v>0</v>
      </c>
      <c r="I70" s="19">
        <f ca="1">IFERROR(__xludf.DUMMYFUNCTION("""COMPUTED_VALUE"""),40)</f>
        <v>40</v>
      </c>
      <c r="J70" s="19">
        <f ca="1">IFERROR(__xludf.DUMMYFUNCTION("""COMPUTED_VALUE"""),0)</f>
        <v>0</v>
      </c>
      <c r="K70" s="20">
        <f ca="1">IFERROR(__xludf.DUMMYFUNCTION("""COMPUTED_VALUE"""),55)</f>
        <v>55</v>
      </c>
      <c r="L70" s="20">
        <f ca="1">IFERROR(__xludf.DUMMYFUNCTION("""COMPUTED_VALUE"""),0)</f>
        <v>0</v>
      </c>
      <c r="M70" s="21">
        <f ca="1">IFERROR(__xludf.DUMMYFUNCTION("""COMPUTED_VALUE"""),40)</f>
        <v>40</v>
      </c>
      <c r="N70" s="21">
        <f ca="1">IFERROR(__xludf.DUMMYFUNCTION("""COMPUTED_VALUE"""),0)</f>
        <v>0</v>
      </c>
      <c r="O70" s="22">
        <f ca="1">IFERROR(__xludf.DUMMYFUNCTION("""COMPUTED_VALUE"""),84)</f>
        <v>84</v>
      </c>
      <c r="P70" s="22">
        <f ca="1">IFERROR(__xludf.DUMMYFUNCTION("""COMPUTED_VALUE"""),0)</f>
        <v>0</v>
      </c>
      <c r="Q70" s="23">
        <f ca="1">IFERROR(__xludf.DUMMYFUNCTION("""COMPUTED_VALUE"""),304)</f>
        <v>304</v>
      </c>
      <c r="R70" s="23">
        <f ca="1">IFERROR(__xludf.DUMMYFUNCTION("""COMPUTED_VALUE"""),0)</f>
        <v>0</v>
      </c>
      <c r="S70" s="24" t="str">
        <f ca="1">IFERROR(__xludf.DUMMYFUNCTION("""COMPUTED_VALUE"""),"Honey Gather")</f>
        <v>Honey Gather</v>
      </c>
      <c r="T70" s="24" t="str">
        <f ca="1">IFERROR(__xludf.DUMMYFUNCTION("""COMPUTED_VALUE"""),"Shield Dust")</f>
        <v>Shield Dust</v>
      </c>
      <c r="U70" s="24" t="str">
        <f ca="1">IFERROR(__xludf.DUMMYFUNCTION("""COMPUTED_VALUE"""),"Sweet Veil")</f>
        <v>Sweet Veil</v>
      </c>
      <c r="V70" s="25"/>
      <c r="W70" s="25"/>
      <c r="X70" s="25" t="str">
        <f ca="1">IFERROR(__xludf.DUMMYFUNCTION("""COMPUTED_VALUE"""),"Honey")</f>
        <v>Honey</v>
      </c>
      <c r="Y70" s="25" t="str">
        <f ca="1">IFERROR(__xludf.DUMMYFUNCTION("""COMPUTED_VALUE"""),"Bronze Fields S, Jusmail Town, Riverwalk Trail N (wild)")</f>
        <v>Bronze Fields S, Jusmail Town, Riverwalk Trail N (wild)</v>
      </c>
    </row>
    <row r="71" spans="1:25" x14ac:dyDescent="0.25">
      <c r="A71" s="15" t="str">
        <f ca="1">IFERROR(__xludf.DUMMYFUNCTION("""COMPUTED_VALUE"""),"Ribombee")</f>
        <v>Ribombee</v>
      </c>
      <c r="B71" s="16">
        <f ca="1">IFERROR(__xludf.DUMMYFUNCTION("""COMPUTED_VALUE"""),70)</f>
        <v>70</v>
      </c>
      <c r="C71" s="3" t="str">
        <f ca="1">IFERROR(__xludf.DUMMYFUNCTION("""COMPUTED_VALUE"""),"Bug")</f>
        <v>Bug</v>
      </c>
      <c r="D71" s="3" t="str">
        <f ca="1">IFERROR(__xludf.DUMMYFUNCTION("""COMPUTED_VALUE"""),"Fairy")</f>
        <v>Fairy</v>
      </c>
      <c r="E71" s="17">
        <f ca="1">IFERROR(__xludf.DUMMYFUNCTION("""COMPUTED_VALUE"""),60)</f>
        <v>60</v>
      </c>
      <c r="F71" s="17">
        <f ca="1">IFERROR(__xludf.DUMMYFUNCTION("""COMPUTED_VALUE"""),0)</f>
        <v>0</v>
      </c>
      <c r="G71" s="18">
        <f ca="1">IFERROR(__xludf.DUMMYFUNCTION("""COMPUTED_VALUE"""),55)</f>
        <v>55</v>
      </c>
      <c r="H71" s="18">
        <f ca="1">IFERROR(__xludf.DUMMYFUNCTION("""COMPUTED_VALUE"""),0)</f>
        <v>0</v>
      </c>
      <c r="I71" s="19">
        <f ca="1">IFERROR(__xludf.DUMMYFUNCTION("""COMPUTED_VALUE"""),60)</f>
        <v>60</v>
      </c>
      <c r="J71" s="19">
        <f ca="1">IFERROR(__xludf.DUMMYFUNCTION("""COMPUTED_VALUE"""),0)</f>
        <v>0</v>
      </c>
      <c r="K71" s="20">
        <f ca="1">IFERROR(__xludf.DUMMYFUNCTION("""COMPUTED_VALUE"""),95)</f>
        <v>95</v>
      </c>
      <c r="L71" s="20">
        <f ca="1">IFERROR(__xludf.DUMMYFUNCTION("""COMPUTED_VALUE"""),0)</f>
        <v>0</v>
      </c>
      <c r="M71" s="21">
        <f ca="1">IFERROR(__xludf.DUMMYFUNCTION("""COMPUTED_VALUE"""),70)</f>
        <v>70</v>
      </c>
      <c r="N71" s="21">
        <f ca="1">IFERROR(__xludf.DUMMYFUNCTION("""COMPUTED_VALUE"""),0)</f>
        <v>0</v>
      </c>
      <c r="O71" s="22">
        <f ca="1">IFERROR(__xludf.DUMMYFUNCTION("""COMPUTED_VALUE"""),124)</f>
        <v>124</v>
      </c>
      <c r="P71" s="22">
        <f ca="1">IFERROR(__xludf.DUMMYFUNCTION("""COMPUTED_VALUE"""),0)</f>
        <v>0</v>
      </c>
      <c r="Q71" s="23">
        <f ca="1">IFERROR(__xludf.DUMMYFUNCTION("""COMPUTED_VALUE"""),464)</f>
        <v>464</v>
      </c>
      <c r="R71" s="23">
        <f ca="1">IFERROR(__xludf.DUMMYFUNCTION("""COMPUTED_VALUE"""),0)</f>
        <v>0</v>
      </c>
      <c r="S71" s="24" t="str">
        <f ca="1">IFERROR(__xludf.DUMMYFUNCTION("""COMPUTED_VALUE"""),"Honey Gather")</f>
        <v>Honey Gather</v>
      </c>
      <c r="T71" s="24" t="str">
        <f ca="1">IFERROR(__xludf.DUMMYFUNCTION("""COMPUTED_VALUE"""),"Shield Dust")</f>
        <v>Shield Dust</v>
      </c>
      <c r="U71" s="24" t="str">
        <f ca="1">IFERROR(__xludf.DUMMYFUNCTION("""COMPUTED_VALUE"""),"Sweet Veil")</f>
        <v>Sweet Veil</v>
      </c>
      <c r="V71" s="25" t="str">
        <f ca="1">IFERROR(__xludf.DUMMYFUNCTION("""COMPUTED_VALUE"""),"Lv. 25")</f>
        <v>Lv. 25</v>
      </c>
      <c r="W71" s="25"/>
      <c r="X71" s="25" t="str">
        <f ca="1">IFERROR(__xludf.DUMMYFUNCTION("""COMPUTED_VALUE"""),"Honey")</f>
        <v>Honey</v>
      </c>
      <c r="Y71" s="25" t="str">
        <f ca="1">IFERROR(__xludf.DUMMYFUNCTION("""COMPUTED_VALUE"""),"Port Pello (wild)")</f>
        <v>Port Pello (wild)</v>
      </c>
    </row>
    <row r="72" spans="1:25" x14ac:dyDescent="0.25">
      <c r="A72" s="15" t="str">
        <f ca="1">IFERROR(__xludf.DUMMYFUNCTION("""COMPUTED_VALUE"""),"Grimer")</f>
        <v>Grimer</v>
      </c>
      <c r="B72" s="16">
        <f ca="1">IFERROR(__xludf.DUMMYFUNCTION("""COMPUTED_VALUE"""),71)</f>
        <v>71</v>
      </c>
      <c r="C72" s="3" t="str">
        <f ca="1">IFERROR(__xludf.DUMMYFUNCTION("""COMPUTED_VALUE"""),"Poison")</f>
        <v>Poison</v>
      </c>
      <c r="D72" s="3"/>
      <c r="E72" s="17">
        <f ca="1">IFERROR(__xludf.DUMMYFUNCTION("""COMPUTED_VALUE"""),80)</f>
        <v>80</v>
      </c>
      <c r="F72" s="17">
        <f ca="1">IFERROR(__xludf.DUMMYFUNCTION("""COMPUTED_VALUE"""),0)</f>
        <v>0</v>
      </c>
      <c r="G72" s="18">
        <f ca="1">IFERROR(__xludf.DUMMYFUNCTION("""COMPUTED_VALUE"""),80)</f>
        <v>80</v>
      </c>
      <c r="H72" s="18">
        <f ca="1">IFERROR(__xludf.DUMMYFUNCTION("""COMPUTED_VALUE"""),0)</f>
        <v>0</v>
      </c>
      <c r="I72" s="19">
        <f ca="1">IFERROR(__xludf.DUMMYFUNCTION("""COMPUTED_VALUE"""),50)</f>
        <v>50</v>
      </c>
      <c r="J72" s="19">
        <f ca="1">IFERROR(__xludf.DUMMYFUNCTION("""COMPUTED_VALUE"""),0)</f>
        <v>0</v>
      </c>
      <c r="K72" s="20">
        <f ca="1">IFERROR(__xludf.DUMMYFUNCTION("""COMPUTED_VALUE"""),40)</f>
        <v>40</v>
      </c>
      <c r="L72" s="20">
        <f ca="1">IFERROR(__xludf.DUMMYFUNCTION("""COMPUTED_VALUE"""),0)</f>
        <v>0</v>
      </c>
      <c r="M72" s="21">
        <f ca="1">IFERROR(__xludf.DUMMYFUNCTION("""COMPUTED_VALUE"""),50)</f>
        <v>50</v>
      </c>
      <c r="N72" s="21">
        <f ca="1">IFERROR(__xludf.DUMMYFUNCTION("""COMPUTED_VALUE"""),0)</f>
        <v>0</v>
      </c>
      <c r="O72" s="22">
        <f ca="1">IFERROR(__xludf.DUMMYFUNCTION("""COMPUTED_VALUE"""),25)</f>
        <v>25</v>
      </c>
      <c r="P72" s="22">
        <f ca="1">IFERROR(__xludf.DUMMYFUNCTION("""COMPUTED_VALUE"""),0)</f>
        <v>0</v>
      </c>
      <c r="Q72" s="23">
        <f ca="1">IFERROR(__xludf.DUMMYFUNCTION("""COMPUTED_VALUE"""),325)</f>
        <v>325</v>
      </c>
      <c r="R72" s="23">
        <f ca="1">IFERROR(__xludf.DUMMYFUNCTION("""COMPUTED_VALUE"""),0)</f>
        <v>0</v>
      </c>
      <c r="S72" s="24" t="str">
        <f ca="1">IFERROR(__xludf.DUMMYFUNCTION("""COMPUTED_VALUE"""),"Stench")</f>
        <v>Stench</v>
      </c>
      <c r="T72" s="24" t="str">
        <f ca="1">IFERROR(__xludf.DUMMYFUNCTION("""COMPUTED_VALUE"""),"Sticky Hold")</f>
        <v>Sticky Hold</v>
      </c>
      <c r="U72" s="24" t="str">
        <f ca="1">IFERROR(__xludf.DUMMYFUNCTION("""COMPUTED_VALUE"""),"Poison Touch")</f>
        <v>Poison Touch</v>
      </c>
      <c r="V72" s="25"/>
      <c r="W72" s="25"/>
      <c r="X72" s="25" t="str">
        <f ca="1">IFERROR(__xludf.DUMMYFUNCTION("""COMPUTED_VALUE"""),"Black Sludge")</f>
        <v>Black Sludge</v>
      </c>
      <c r="Y72" s="25" t="str">
        <f ca="1">IFERROR(__xludf.DUMMYFUNCTION("""COMPUTED_VALUE"""),"Acrisia City (wild)")</f>
        <v>Acrisia City (wild)</v>
      </c>
    </row>
    <row r="73" spans="1:25" x14ac:dyDescent="0.25">
      <c r="A73" s="15" t="str">
        <f ca="1">IFERROR(__xludf.DUMMYFUNCTION("""COMPUTED_VALUE"""),"Muk")</f>
        <v>Muk</v>
      </c>
      <c r="B73" s="16">
        <f ca="1">IFERROR(__xludf.DUMMYFUNCTION("""COMPUTED_VALUE"""),72)</f>
        <v>72</v>
      </c>
      <c r="C73" s="3" t="str">
        <f ca="1">IFERROR(__xludf.DUMMYFUNCTION("""COMPUTED_VALUE"""),"Poison")</f>
        <v>Poison</v>
      </c>
      <c r="D73" s="3"/>
      <c r="E73" s="17">
        <f ca="1">IFERROR(__xludf.DUMMYFUNCTION("""COMPUTED_VALUE"""),110)</f>
        <v>110</v>
      </c>
      <c r="F73" s="17">
        <f ca="1">IFERROR(__xludf.DUMMYFUNCTION("""COMPUTED_VALUE"""),5)</f>
        <v>5</v>
      </c>
      <c r="G73" s="18">
        <f ca="1">IFERROR(__xludf.DUMMYFUNCTION("""COMPUTED_VALUE"""),105)</f>
        <v>105</v>
      </c>
      <c r="H73" s="18">
        <f ca="1">IFERROR(__xludf.DUMMYFUNCTION("""COMPUTED_VALUE"""),0)</f>
        <v>0</v>
      </c>
      <c r="I73" s="19">
        <f ca="1">IFERROR(__xludf.DUMMYFUNCTION("""COMPUTED_VALUE"""),75)</f>
        <v>75</v>
      </c>
      <c r="J73" s="19">
        <f ca="1">IFERROR(__xludf.DUMMYFUNCTION("""COMPUTED_VALUE"""),0)</f>
        <v>0</v>
      </c>
      <c r="K73" s="20">
        <f ca="1">IFERROR(__xludf.DUMMYFUNCTION("""COMPUTED_VALUE"""),65)</f>
        <v>65</v>
      </c>
      <c r="L73" s="20">
        <f ca="1">IFERROR(__xludf.DUMMYFUNCTION("""COMPUTED_VALUE"""),0)</f>
        <v>0</v>
      </c>
      <c r="M73" s="21">
        <f ca="1">IFERROR(__xludf.DUMMYFUNCTION("""COMPUTED_VALUE"""),100)</f>
        <v>100</v>
      </c>
      <c r="N73" s="21">
        <f ca="1">IFERROR(__xludf.DUMMYFUNCTION("""COMPUTED_VALUE"""),0)</f>
        <v>0</v>
      </c>
      <c r="O73" s="22">
        <f ca="1">IFERROR(__xludf.DUMMYFUNCTION("""COMPUTED_VALUE"""),50)</f>
        <v>50</v>
      </c>
      <c r="P73" s="22">
        <f ca="1">IFERROR(__xludf.DUMMYFUNCTION("""COMPUTED_VALUE"""),0)</f>
        <v>0</v>
      </c>
      <c r="Q73" s="23">
        <f ca="1">IFERROR(__xludf.DUMMYFUNCTION("""COMPUTED_VALUE"""),505)</f>
        <v>505</v>
      </c>
      <c r="R73" s="23">
        <f ca="1">IFERROR(__xludf.DUMMYFUNCTION("""COMPUTED_VALUE"""),5)</f>
        <v>5</v>
      </c>
      <c r="S73" s="24" t="str">
        <f ca="1">IFERROR(__xludf.DUMMYFUNCTION("""COMPUTED_VALUE"""),"Stench")</f>
        <v>Stench</v>
      </c>
      <c r="T73" s="24" t="str">
        <f ca="1">IFERROR(__xludf.DUMMYFUNCTION("""COMPUTED_VALUE"""),"Sticky Hold")</f>
        <v>Sticky Hold</v>
      </c>
      <c r="U73" s="24" t="str">
        <f ca="1">IFERROR(__xludf.DUMMYFUNCTION("""COMPUTED_VALUE"""),"Poison Touch")</f>
        <v>Poison Touch</v>
      </c>
      <c r="V73" s="25" t="str">
        <f ca="1">IFERROR(__xludf.DUMMYFUNCTION("""COMPUTED_VALUE"""),"Lv. 34")</f>
        <v>Lv. 34</v>
      </c>
      <c r="W73" s="25"/>
      <c r="X73" s="25" t="str">
        <f ca="1">IFERROR(__xludf.DUMMYFUNCTION("""COMPUTED_VALUE"""),"Black Sludge")</f>
        <v>Black Sludge</v>
      </c>
      <c r="Y73" s="25" t="str">
        <f ca="1">IFERROR(__xludf.DUMMYFUNCTION("""COMPUTED_VALUE"""),"Areios Hideout (wild)")</f>
        <v>Areios Hideout (wild)</v>
      </c>
    </row>
    <row r="74" spans="1:25" x14ac:dyDescent="0.25">
      <c r="A74" s="15" t="str">
        <f ca="1">IFERROR(__xludf.DUMMYFUNCTION("""COMPUTED_VALUE"""),"Wurmple")</f>
        <v>Wurmple</v>
      </c>
      <c r="B74" s="16">
        <f ca="1">IFERROR(__xludf.DUMMYFUNCTION("""COMPUTED_VALUE"""),73)</f>
        <v>73</v>
      </c>
      <c r="C74" s="3" t="str">
        <f ca="1">IFERROR(__xludf.DUMMYFUNCTION("""COMPUTED_VALUE"""),"Bug")</f>
        <v>Bug</v>
      </c>
      <c r="D74" s="3"/>
      <c r="E74" s="17">
        <f ca="1">IFERROR(__xludf.DUMMYFUNCTION("""COMPUTED_VALUE"""),45)</f>
        <v>45</v>
      </c>
      <c r="F74" s="17">
        <f ca="1">IFERROR(__xludf.DUMMYFUNCTION("""COMPUTED_VALUE"""),0)</f>
        <v>0</v>
      </c>
      <c r="G74" s="18">
        <f ca="1">IFERROR(__xludf.DUMMYFUNCTION("""COMPUTED_VALUE"""),45)</f>
        <v>45</v>
      </c>
      <c r="H74" s="18">
        <f ca="1">IFERROR(__xludf.DUMMYFUNCTION("""COMPUTED_VALUE"""),0)</f>
        <v>0</v>
      </c>
      <c r="I74" s="19">
        <f ca="1">IFERROR(__xludf.DUMMYFUNCTION("""COMPUTED_VALUE"""),35)</f>
        <v>35</v>
      </c>
      <c r="J74" s="19">
        <f ca="1">IFERROR(__xludf.DUMMYFUNCTION("""COMPUTED_VALUE"""),0)</f>
        <v>0</v>
      </c>
      <c r="K74" s="20">
        <f ca="1">IFERROR(__xludf.DUMMYFUNCTION("""COMPUTED_VALUE"""),20)</f>
        <v>20</v>
      </c>
      <c r="L74" s="20">
        <f ca="1">IFERROR(__xludf.DUMMYFUNCTION("""COMPUTED_VALUE"""),0)</f>
        <v>0</v>
      </c>
      <c r="M74" s="21">
        <f ca="1">IFERROR(__xludf.DUMMYFUNCTION("""COMPUTED_VALUE"""),30)</f>
        <v>30</v>
      </c>
      <c r="N74" s="21">
        <f ca="1">IFERROR(__xludf.DUMMYFUNCTION("""COMPUTED_VALUE"""),0)</f>
        <v>0</v>
      </c>
      <c r="O74" s="22">
        <f ca="1">IFERROR(__xludf.DUMMYFUNCTION("""COMPUTED_VALUE"""),20)</f>
        <v>20</v>
      </c>
      <c r="P74" s="22">
        <f ca="1">IFERROR(__xludf.DUMMYFUNCTION("""COMPUTED_VALUE"""),0)</f>
        <v>0</v>
      </c>
      <c r="Q74" s="23">
        <f ca="1">IFERROR(__xludf.DUMMYFUNCTION("""COMPUTED_VALUE"""),195)</f>
        <v>195</v>
      </c>
      <c r="R74" s="23">
        <f ca="1">IFERROR(__xludf.DUMMYFUNCTION("""COMPUTED_VALUE"""),0)</f>
        <v>0</v>
      </c>
      <c r="S74" s="24" t="str">
        <f ca="1">IFERROR(__xludf.DUMMYFUNCTION("""COMPUTED_VALUE"""),"Shield Dust")</f>
        <v>Shield Dust</v>
      </c>
      <c r="T74" s="25"/>
      <c r="U74" s="24" t="str">
        <f ca="1">IFERROR(__xludf.DUMMYFUNCTION("""COMPUTED_VALUE"""),"Run Away")</f>
        <v>Run Away</v>
      </c>
      <c r="V74" s="25"/>
      <c r="W74" s="25" t="str">
        <f ca="1">IFERROR(__xludf.DUMMYFUNCTION("""COMPUTED_VALUE"""),"Pecha Berry")</f>
        <v>Pecha Berry</v>
      </c>
      <c r="X74" s="25" t="str">
        <f ca="1">IFERROR(__xludf.DUMMYFUNCTION("""COMPUTED_VALUE"""),"Bright Powder")</f>
        <v>Bright Powder</v>
      </c>
      <c r="Y74" s="25" t="str">
        <f ca="1">IFERROR(__xludf.DUMMYFUNCTION("""COMPUTED_VALUE"""),"Jusmail Town, Riverwalk Trail S (wild)")</f>
        <v>Jusmail Town, Riverwalk Trail S (wild)</v>
      </c>
    </row>
    <row r="75" spans="1:25" x14ac:dyDescent="0.25">
      <c r="A75" s="15" t="str">
        <f ca="1">IFERROR(__xludf.DUMMYFUNCTION("""COMPUTED_VALUE"""),"Silcoon")</f>
        <v>Silcoon</v>
      </c>
      <c r="B75" s="16">
        <f ca="1">IFERROR(__xludf.DUMMYFUNCTION("""COMPUTED_VALUE"""),74)</f>
        <v>74</v>
      </c>
      <c r="C75" s="3" t="str">
        <f ca="1">IFERROR(__xludf.DUMMYFUNCTION("""COMPUTED_VALUE"""),"Bug")</f>
        <v>Bug</v>
      </c>
      <c r="D75" s="3"/>
      <c r="E75" s="17">
        <f ca="1">IFERROR(__xludf.DUMMYFUNCTION("""COMPUTED_VALUE"""),50)</f>
        <v>50</v>
      </c>
      <c r="F75" s="17">
        <f ca="1">IFERROR(__xludf.DUMMYFUNCTION("""COMPUTED_VALUE"""),0)</f>
        <v>0</v>
      </c>
      <c r="G75" s="18">
        <f ca="1">IFERROR(__xludf.DUMMYFUNCTION("""COMPUTED_VALUE"""),35)</f>
        <v>35</v>
      </c>
      <c r="H75" s="18">
        <f ca="1">IFERROR(__xludf.DUMMYFUNCTION("""COMPUTED_VALUE"""),0)</f>
        <v>0</v>
      </c>
      <c r="I75" s="19">
        <f ca="1">IFERROR(__xludf.DUMMYFUNCTION("""COMPUTED_VALUE"""),55)</f>
        <v>55</v>
      </c>
      <c r="J75" s="19">
        <f ca="1">IFERROR(__xludf.DUMMYFUNCTION("""COMPUTED_VALUE"""),0)</f>
        <v>0</v>
      </c>
      <c r="K75" s="20">
        <f ca="1">IFERROR(__xludf.DUMMYFUNCTION("""COMPUTED_VALUE"""),25)</f>
        <v>25</v>
      </c>
      <c r="L75" s="20">
        <f ca="1">IFERROR(__xludf.DUMMYFUNCTION("""COMPUTED_VALUE"""),0)</f>
        <v>0</v>
      </c>
      <c r="M75" s="21">
        <f ca="1">IFERROR(__xludf.DUMMYFUNCTION("""COMPUTED_VALUE"""),25)</f>
        <v>25</v>
      </c>
      <c r="N75" s="21">
        <f ca="1">IFERROR(__xludf.DUMMYFUNCTION("""COMPUTED_VALUE"""),0)</f>
        <v>0</v>
      </c>
      <c r="O75" s="22">
        <f ca="1">IFERROR(__xludf.DUMMYFUNCTION("""COMPUTED_VALUE"""),15)</f>
        <v>15</v>
      </c>
      <c r="P75" s="22">
        <f ca="1">IFERROR(__xludf.DUMMYFUNCTION("""COMPUTED_VALUE"""),0)</f>
        <v>0</v>
      </c>
      <c r="Q75" s="23">
        <f ca="1">IFERROR(__xludf.DUMMYFUNCTION("""COMPUTED_VALUE"""),205)</f>
        <v>205</v>
      </c>
      <c r="R75" s="23">
        <f ca="1">IFERROR(__xludf.DUMMYFUNCTION("""COMPUTED_VALUE"""),0)</f>
        <v>0</v>
      </c>
      <c r="S75" s="24" t="str">
        <f ca="1">IFERROR(__xludf.DUMMYFUNCTION("""COMPUTED_VALUE"""),"Shed Skin")</f>
        <v>Shed Skin</v>
      </c>
      <c r="T75" s="25"/>
      <c r="U75" s="25"/>
      <c r="V75" s="25" t="str">
        <f ca="1">IFERROR(__xludf.DUMMYFUNCTION("""COMPUTED_VALUE"""),"Lv. 7")</f>
        <v>Lv. 7</v>
      </c>
      <c r="W75" s="25"/>
      <c r="X75" s="25"/>
      <c r="Y75" s="25" t="str">
        <f ca="1">IFERROR(__xludf.DUMMYFUNCTION("""COMPUTED_VALUE"""),"Riverwalk Trail S (wild)")</f>
        <v>Riverwalk Trail S (wild)</v>
      </c>
    </row>
    <row r="76" spans="1:25" x14ac:dyDescent="0.25">
      <c r="A76" s="15" t="str">
        <f ca="1">IFERROR(__xludf.DUMMYFUNCTION("""COMPUTED_VALUE"""),"Beautifly")</f>
        <v>Beautifly</v>
      </c>
      <c r="B76" s="16">
        <f ca="1">IFERROR(__xludf.DUMMYFUNCTION("""COMPUTED_VALUE"""),75)</f>
        <v>75</v>
      </c>
      <c r="C76" s="3" t="str">
        <f ca="1">IFERROR(__xludf.DUMMYFUNCTION("""COMPUTED_VALUE"""),"Bug")</f>
        <v>Bug</v>
      </c>
      <c r="D76" s="3" t="str">
        <f ca="1">IFERROR(__xludf.DUMMYFUNCTION("""COMPUTED_VALUE"""),"Flying")</f>
        <v>Flying</v>
      </c>
      <c r="E76" s="17">
        <f ca="1">IFERROR(__xludf.DUMMYFUNCTION("""COMPUTED_VALUE"""),60)</f>
        <v>60</v>
      </c>
      <c r="F76" s="17">
        <f ca="1">IFERROR(__xludf.DUMMYFUNCTION("""COMPUTED_VALUE"""),0)</f>
        <v>0</v>
      </c>
      <c r="G76" s="18">
        <f ca="1">IFERROR(__xludf.DUMMYFUNCTION("""COMPUTED_VALUE"""),50)</f>
        <v>50</v>
      </c>
      <c r="H76" s="18">
        <f ca="1">IFERROR(__xludf.DUMMYFUNCTION("""COMPUTED_VALUE"""),-20)</f>
        <v>-20</v>
      </c>
      <c r="I76" s="19">
        <f ca="1">IFERROR(__xludf.DUMMYFUNCTION("""COMPUTED_VALUE"""),60)</f>
        <v>60</v>
      </c>
      <c r="J76" s="19">
        <f ca="1">IFERROR(__xludf.DUMMYFUNCTION("""COMPUTED_VALUE"""),10)</f>
        <v>10</v>
      </c>
      <c r="K76" s="20">
        <f ca="1">IFERROR(__xludf.DUMMYFUNCTION("""COMPUTED_VALUE"""),115)</f>
        <v>115</v>
      </c>
      <c r="L76" s="20">
        <f ca="1">IFERROR(__xludf.DUMMYFUNCTION("""COMPUTED_VALUE"""),15)</f>
        <v>15</v>
      </c>
      <c r="M76" s="21">
        <f ca="1">IFERROR(__xludf.DUMMYFUNCTION("""COMPUTED_VALUE"""),70)</f>
        <v>70</v>
      </c>
      <c r="N76" s="21">
        <f ca="1">IFERROR(__xludf.DUMMYFUNCTION("""COMPUTED_VALUE"""),20)</f>
        <v>20</v>
      </c>
      <c r="O76" s="22">
        <f ca="1">IFERROR(__xludf.DUMMYFUNCTION("""COMPUTED_VALUE"""),85)</f>
        <v>85</v>
      </c>
      <c r="P76" s="22">
        <f ca="1">IFERROR(__xludf.DUMMYFUNCTION("""COMPUTED_VALUE"""),20)</f>
        <v>20</v>
      </c>
      <c r="Q76" s="23">
        <f ca="1">IFERROR(__xludf.DUMMYFUNCTION("""COMPUTED_VALUE"""),440)</f>
        <v>440</v>
      </c>
      <c r="R76" s="23">
        <f ca="1">IFERROR(__xludf.DUMMYFUNCTION("""COMPUTED_VALUE"""),45)</f>
        <v>45</v>
      </c>
      <c r="S76" s="24" t="str">
        <f ca="1">IFERROR(__xludf.DUMMYFUNCTION("""COMPUTED_VALUE"""),"Swarm")</f>
        <v>Swarm</v>
      </c>
      <c r="T76" s="25"/>
      <c r="U76" s="24" t="str">
        <f ca="1">IFERROR(__xludf.DUMMYFUNCTION("""COMPUTED_VALUE"""),"Rivalry")</f>
        <v>Rivalry</v>
      </c>
      <c r="V76" s="25" t="str">
        <f ca="1">IFERROR(__xludf.DUMMYFUNCTION("""COMPUTED_VALUE"""),"Lv. 10")</f>
        <v>Lv. 10</v>
      </c>
      <c r="W76" s="25"/>
      <c r="X76" s="25" t="str">
        <f ca="1">IFERROR(__xludf.DUMMYFUNCTION("""COMPUTED_VALUE"""),"Shed Shell")</f>
        <v>Shed Shell</v>
      </c>
      <c r="Y76" s="25" t="str">
        <f ca="1">IFERROR(__xludf.DUMMYFUNCTION("""COMPUTED_VALUE"""),"Silcoon (evolve)")</f>
        <v>Silcoon (evolve)</v>
      </c>
    </row>
    <row r="77" spans="1:25" x14ac:dyDescent="0.25">
      <c r="A77" s="15" t="str">
        <f ca="1">IFERROR(__xludf.DUMMYFUNCTION("""COMPUTED_VALUE"""),"Cascoon")</f>
        <v>Cascoon</v>
      </c>
      <c r="B77" s="16">
        <f ca="1">IFERROR(__xludf.DUMMYFUNCTION("""COMPUTED_VALUE"""),76)</f>
        <v>76</v>
      </c>
      <c r="C77" s="3" t="str">
        <f ca="1">IFERROR(__xludf.DUMMYFUNCTION("""COMPUTED_VALUE"""),"Bug")</f>
        <v>Bug</v>
      </c>
      <c r="D77" s="3"/>
      <c r="E77" s="17">
        <f ca="1">IFERROR(__xludf.DUMMYFUNCTION("""COMPUTED_VALUE"""),50)</f>
        <v>50</v>
      </c>
      <c r="F77" s="17">
        <f ca="1">IFERROR(__xludf.DUMMYFUNCTION("""COMPUTED_VALUE"""),0)</f>
        <v>0</v>
      </c>
      <c r="G77" s="18">
        <f ca="1">IFERROR(__xludf.DUMMYFUNCTION("""COMPUTED_VALUE"""),35)</f>
        <v>35</v>
      </c>
      <c r="H77" s="18">
        <f ca="1">IFERROR(__xludf.DUMMYFUNCTION("""COMPUTED_VALUE"""),0)</f>
        <v>0</v>
      </c>
      <c r="I77" s="19">
        <f ca="1">IFERROR(__xludf.DUMMYFUNCTION("""COMPUTED_VALUE"""),55)</f>
        <v>55</v>
      </c>
      <c r="J77" s="19">
        <f ca="1">IFERROR(__xludf.DUMMYFUNCTION("""COMPUTED_VALUE"""),0)</f>
        <v>0</v>
      </c>
      <c r="K77" s="20">
        <f ca="1">IFERROR(__xludf.DUMMYFUNCTION("""COMPUTED_VALUE"""),25)</f>
        <v>25</v>
      </c>
      <c r="L77" s="20">
        <f ca="1">IFERROR(__xludf.DUMMYFUNCTION("""COMPUTED_VALUE"""),0)</f>
        <v>0</v>
      </c>
      <c r="M77" s="21">
        <f ca="1">IFERROR(__xludf.DUMMYFUNCTION("""COMPUTED_VALUE"""),25)</f>
        <v>25</v>
      </c>
      <c r="N77" s="21">
        <f ca="1">IFERROR(__xludf.DUMMYFUNCTION("""COMPUTED_VALUE"""),0)</f>
        <v>0</v>
      </c>
      <c r="O77" s="22">
        <f ca="1">IFERROR(__xludf.DUMMYFUNCTION("""COMPUTED_VALUE"""),15)</f>
        <v>15</v>
      </c>
      <c r="P77" s="22">
        <f ca="1">IFERROR(__xludf.DUMMYFUNCTION("""COMPUTED_VALUE"""),0)</f>
        <v>0</v>
      </c>
      <c r="Q77" s="23">
        <f ca="1">IFERROR(__xludf.DUMMYFUNCTION("""COMPUTED_VALUE"""),205)</f>
        <v>205</v>
      </c>
      <c r="R77" s="23">
        <f ca="1">IFERROR(__xludf.DUMMYFUNCTION("""COMPUTED_VALUE"""),0)</f>
        <v>0</v>
      </c>
      <c r="S77" s="24" t="str">
        <f ca="1">IFERROR(__xludf.DUMMYFUNCTION("""COMPUTED_VALUE"""),"Shed Skin")</f>
        <v>Shed Skin</v>
      </c>
      <c r="T77" s="25"/>
      <c r="U77" s="25"/>
      <c r="V77" s="25" t="str">
        <f ca="1">IFERROR(__xludf.DUMMYFUNCTION("""COMPUTED_VALUE"""),"Lv. 7")</f>
        <v>Lv. 7</v>
      </c>
      <c r="W77" s="25"/>
      <c r="X77" s="25"/>
      <c r="Y77" s="25" t="str">
        <f ca="1">IFERROR(__xludf.DUMMYFUNCTION("""COMPUTED_VALUE"""),"Riverwalk Trail S (wild)")</f>
        <v>Riverwalk Trail S (wild)</v>
      </c>
    </row>
    <row r="78" spans="1:25" x14ac:dyDescent="0.25">
      <c r="A78" s="15" t="str">
        <f ca="1">IFERROR(__xludf.DUMMYFUNCTION("""COMPUTED_VALUE"""),"Dustox")</f>
        <v>Dustox</v>
      </c>
      <c r="B78" s="16">
        <f ca="1">IFERROR(__xludf.DUMMYFUNCTION("""COMPUTED_VALUE"""),77)</f>
        <v>77</v>
      </c>
      <c r="C78" s="3" t="str">
        <f ca="1">IFERROR(__xludf.DUMMYFUNCTION("""COMPUTED_VALUE"""),"Bug")</f>
        <v>Bug</v>
      </c>
      <c r="D78" s="3" t="str">
        <f ca="1">IFERROR(__xludf.DUMMYFUNCTION("""COMPUTED_VALUE"""),"Poison")</f>
        <v>Poison</v>
      </c>
      <c r="E78" s="17">
        <f ca="1">IFERROR(__xludf.DUMMYFUNCTION("""COMPUTED_VALUE"""),80)</f>
        <v>80</v>
      </c>
      <c r="F78" s="17">
        <f ca="1">IFERROR(__xludf.DUMMYFUNCTION("""COMPUTED_VALUE"""),20)</f>
        <v>20</v>
      </c>
      <c r="G78" s="18">
        <f ca="1">IFERROR(__xludf.DUMMYFUNCTION("""COMPUTED_VALUE"""),65)</f>
        <v>65</v>
      </c>
      <c r="H78" s="18">
        <f ca="1">IFERROR(__xludf.DUMMYFUNCTION("""COMPUTED_VALUE"""),15)</f>
        <v>15</v>
      </c>
      <c r="I78" s="19">
        <f ca="1">IFERROR(__xludf.DUMMYFUNCTION("""COMPUTED_VALUE"""),90)</f>
        <v>90</v>
      </c>
      <c r="J78" s="19">
        <f ca="1">IFERROR(__xludf.DUMMYFUNCTION("""COMPUTED_VALUE"""),20)</f>
        <v>20</v>
      </c>
      <c r="K78" s="20">
        <f ca="1">IFERROR(__xludf.DUMMYFUNCTION("""COMPUTED_VALUE"""),50)</f>
        <v>50</v>
      </c>
      <c r="L78" s="20">
        <f ca="1">IFERROR(__xludf.DUMMYFUNCTION("""COMPUTED_VALUE"""),0)</f>
        <v>0</v>
      </c>
      <c r="M78" s="21">
        <f ca="1">IFERROR(__xludf.DUMMYFUNCTION("""COMPUTED_VALUE"""),90)</f>
        <v>90</v>
      </c>
      <c r="N78" s="21">
        <f ca="1">IFERROR(__xludf.DUMMYFUNCTION("""COMPUTED_VALUE"""),0)</f>
        <v>0</v>
      </c>
      <c r="O78" s="22">
        <f ca="1">IFERROR(__xludf.DUMMYFUNCTION("""COMPUTED_VALUE"""),65)</f>
        <v>65</v>
      </c>
      <c r="P78" s="22">
        <f ca="1">IFERROR(__xludf.DUMMYFUNCTION("""COMPUTED_VALUE"""),0)</f>
        <v>0</v>
      </c>
      <c r="Q78" s="23">
        <f ca="1">IFERROR(__xludf.DUMMYFUNCTION("""COMPUTED_VALUE"""),440)</f>
        <v>440</v>
      </c>
      <c r="R78" s="23">
        <f ca="1">IFERROR(__xludf.DUMMYFUNCTION("""COMPUTED_VALUE"""),55)</f>
        <v>55</v>
      </c>
      <c r="S78" s="24" t="str">
        <f ca="1">IFERROR(__xludf.DUMMYFUNCTION("""COMPUTED_VALUE"""),"Unaware")</f>
        <v>Unaware</v>
      </c>
      <c r="T78" s="25"/>
      <c r="U78" s="24" t="str">
        <f ca="1">IFERROR(__xludf.DUMMYFUNCTION("""COMPUTED_VALUE"""),"Compound Eyes")</f>
        <v>Compound Eyes</v>
      </c>
      <c r="V78" s="25" t="str">
        <f ca="1">IFERROR(__xludf.DUMMYFUNCTION("""COMPUTED_VALUE"""),"Lv. 10")</f>
        <v>Lv. 10</v>
      </c>
      <c r="W78" s="25"/>
      <c r="X78" s="25" t="str">
        <f ca="1">IFERROR(__xludf.DUMMYFUNCTION("""COMPUTED_VALUE"""),"Shed Shell")</f>
        <v>Shed Shell</v>
      </c>
      <c r="Y78" s="25" t="str">
        <f ca="1">IFERROR(__xludf.DUMMYFUNCTION("""COMPUTED_VALUE"""),"Cascoon (evolve)")</f>
        <v>Cascoon (evolve)</v>
      </c>
    </row>
    <row r="79" spans="1:25" x14ac:dyDescent="0.25">
      <c r="A79" s="15" t="str">
        <f ca="1">IFERROR(__xludf.DUMMYFUNCTION("""COMPUTED_VALUE"""),"Tropius")</f>
        <v>Tropius</v>
      </c>
      <c r="B79" s="16">
        <f ca="1">IFERROR(__xludf.DUMMYFUNCTION("""COMPUTED_VALUE"""),78)</f>
        <v>78</v>
      </c>
      <c r="C79" s="3" t="str">
        <f ca="1">IFERROR(__xludf.DUMMYFUNCTION("""COMPUTED_VALUE"""),"Grass")</f>
        <v>Grass</v>
      </c>
      <c r="D79" s="3" t="str">
        <f ca="1">IFERROR(__xludf.DUMMYFUNCTION("""COMPUTED_VALUE"""),"Flying")</f>
        <v>Flying</v>
      </c>
      <c r="E79" s="17">
        <f ca="1">IFERROR(__xludf.DUMMYFUNCTION("""COMPUTED_VALUE"""),109)</f>
        <v>109</v>
      </c>
      <c r="F79" s="17">
        <f ca="1">IFERROR(__xludf.DUMMYFUNCTION("""COMPUTED_VALUE"""),10)</f>
        <v>10</v>
      </c>
      <c r="G79" s="18">
        <f ca="1">IFERROR(__xludf.DUMMYFUNCTION("""COMPUTED_VALUE"""),93)</f>
        <v>93</v>
      </c>
      <c r="H79" s="18">
        <f ca="1">IFERROR(__xludf.DUMMYFUNCTION("""COMPUTED_VALUE"""),25)</f>
        <v>25</v>
      </c>
      <c r="I79" s="19">
        <f ca="1">IFERROR(__xludf.DUMMYFUNCTION("""COMPUTED_VALUE"""),91)</f>
        <v>91</v>
      </c>
      <c r="J79" s="19">
        <f ca="1">IFERROR(__xludf.DUMMYFUNCTION("""COMPUTED_VALUE"""),8)</f>
        <v>8</v>
      </c>
      <c r="K79" s="20">
        <f ca="1">IFERROR(__xludf.DUMMYFUNCTION("""COMPUTED_VALUE"""),93)</f>
        <v>93</v>
      </c>
      <c r="L79" s="20">
        <f ca="1">IFERROR(__xludf.DUMMYFUNCTION("""COMPUTED_VALUE"""),21)</f>
        <v>21</v>
      </c>
      <c r="M79" s="21">
        <f ca="1">IFERROR(__xludf.DUMMYFUNCTION("""COMPUTED_VALUE"""),87)</f>
        <v>87</v>
      </c>
      <c r="N79" s="21">
        <f ca="1">IFERROR(__xludf.DUMMYFUNCTION("""COMPUTED_VALUE"""),0)</f>
        <v>0</v>
      </c>
      <c r="O79" s="22">
        <f ca="1">IFERROR(__xludf.DUMMYFUNCTION("""COMPUTED_VALUE"""),42)</f>
        <v>42</v>
      </c>
      <c r="P79" s="22">
        <f ca="1">IFERROR(__xludf.DUMMYFUNCTION("""COMPUTED_VALUE"""),-9)</f>
        <v>-9</v>
      </c>
      <c r="Q79" s="23">
        <f ca="1">IFERROR(__xludf.DUMMYFUNCTION("""COMPUTED_VALUE"""),515)</f>
        <v>515</v>
      </c>
      <c r="R79" s="23">
        <f ca="1">IFERROR(__xludf.DUMMYFUNCTION("""COMPUTED_VALUE"""),55)</f>
        <v>55</v>
      </c>
      <c r="S79" s="24" t="str">
        <f ca="1">IFERROR(__xludf.DUMMYFUNCTION("""COMPUTED_VALUE"""),"Thick Layers")</f>
        <v>Thick Layers</v>
      </c>
      <c r="T79" s="24" t="str">
        <f ca="1">IFERROR(__xludf.DUMMYFUNCTION("""COMPUTED_VALUE"""),"Solar Power")</f>
        <v>Solar Power</v>
      </c>
      <c r="U79" s="24" t="str">
        <f ca="1">IFERROR(__xludf.DUMMYFUNCTION("""COMPUTED_VALUE"""),"Harvest")</f>
        <v>Harvest</v>
      </c>
      <c r="V79" s="25"/>
      <c r="W79" s="25"/>
      <c r="X79" s="25"/>
      <c r="Y79" s="25" t="str">
        <f ca="1">IFERROR(__xludf.DUMMYFUNCTION("""COMPUTED_VALUE"""),"Riverwalk Trail S, Port Pello (wild)")</f>
        <v>Riverwalk Trail S, Port Pello (wild)</v>
      </c>
    </row>
    <row r="80" spans="1:25" x14ac:dyDescent="0.25">
      <c r="A80" s="15" t="str">
        <f ca="1">IFERROR(__xludf.DUMMYFUNCTION("""COMPUTED_VALUE"""),"Ralts ")</f>
        <v xml:space="preserve">Ralts </v>
      </c>
      <c r="B80" s="16">
        <f ca="1">IFERROR(__xludf.DUMMYFUNCTION("""COMPUTED_VALUE"""),79)</f>
        <v>79</v>
      </c>
      <c r="C80" s="3" t="str">
        <f ca="1">IFERROR(__xludf.DUMMYFUNCTION("""COMPUTED_VALUE"""),"Psychic")</f>
        <v>Psychic</v>
      </c>
      <c r="D80" s="3" t="str">
        <f ca="1">IFERROR(__xludf.DUMMYFUNCTION("""COMPUTED_VALUE"""),"Fairy")</f>
        <v>Fairy</v>
      </c>
      <c r="E80" s="17">
        <f ca="1">IFERROR(__xludf.DUMMYFUNCTION("""COMPUTED_VALUE"""),28)</f>
        <v>28</v>
      </c>
      <c r="F80" s="17">
        <f ca="1">IFERROR(__xludf.DUMMYFUNCTION("""COMPUTED_VALUE"""),0)</f>
        <v>0</v>
      </c>
      <c r="G80" s="18">
        <f ca="1">IFERROR(__xludf.DUMMYFUNCTION("""COMPUTED_VALUE"""),25)</f>
        <v>25</v>
      </c>
      <c r="H80" s="18">
        <f ca="1">IFERROR(__xludf.DUMMYFUNCTION("""COMPUTED_VALUE"""),0)</f>
        <v>0</v>
      </c>
      <c r="I80" s="19">
        <f ca="1">IFERROR(__xludf.DUMMYFUNCTION("""COMPUTED_VALUE"""),25)</f>
        <v>25</v>
      </c>
      <c r="J80" s="19">
        <f ca="1">IFERROR(__xludf.DUMMYFUNCTION("""COMPUTED_VALUE"""),0)</f>
        <v>0</v>
      </c>
      <c r="K80" s="20">
        <f ca="1">IFERROR(__xludf.DUMMYFUNCTION("""COMPUTED_VALUE"""),45)</f>
        <v>45</v>
      </c>
      <c r="L80" s="20">
        <f ca="1">IFERROR(__xludf.DUMMYFUNCTION("""COMPUTED_VALUE"""),0)</f>
        <v>0</v>
      </c>
      <c r="M80" s="21">
        <f ca="1">IFERROR(__xludf.DUMMYFUNCTION("""COMPUTED_VALUE"""),35)</f>
        <v>35</v>
      </c>
      <c r="N80" s="21">
        <f ca="1">IFERROR(__xludf.DUMMYFUNCTION("""COMPUTED_VALUE"""),0)</f>
        <v>0</v>
      </c>
      <c r="O80" s="22">
        <f ca="1">IFERROR(__xludf.DUMMYFUNCTION("""COMPUTED_VALUE"""),40)</f>
        <v>40</v>
      </c>
      <c r="P80" s="22">
        <f ca="1">IFERROR(__xludf.DUMMYFUNCTION("""COMPUTED_VALUE"""),0)</f>
        <v>0</v>
      </c>
      <c r="Q80" s="23">
        <f ca="1">IFERROR(__xludf.DUMMYFUNCTION("""COMPUTED_VALUE"""),198)</f>
        <v>198</v>
      </c>
      <c r="R80" s="23">
        <f ca="1">IFERROR(__xludf.DUMMYFUNCTION("""COMPUTED_VALUE"""),0)</f>
        <v>0</v>
      </c>
      <c r="S80" s="24" t="str">
        <f ca="1">IFERROR(__xludf.DUMMYFUNCTION("""COMPUTED_VALUE"""),"Synchronize")</f>
        <v>Synchronize</v>
      </c>
      <c r="T80" s="24" t="str">
        <f ca="1">IFERROR(__xludf.DUMMYFUNCTION("""COMPUTED_VALUE"""),"Trace")</f>
        <v>Trace</v>
      </c>
      <c r="U80" s="24" t="str">
        <f ca="1">IFERROR(__xludf.DUMMYFUNCTION("""COMPUTED_VALUE"""),"Telepathy")</f>
        <v>Telepathy</v>
      </c>
      <c r="V80" s="25"/>
      <c r="W80" s="25"/>
      <c r="X80" s="25"/>
      <c r="Y80" s="25" t="str">
        <f ca="1">IFERROR(__xludf.DUMMYFUNCTION("""COMPUTED_VALUE"""),"Jusmail Town (wild)")</f>
        <v>Jusmail Town (wild)</v>
      </c>
    </row>
    <row r="81" spans="1:25" x14ac:dyDescent="0.25">
      <c r="A81" s="15" t="str">
        <f ca="1">IFERROR(__xludf.DUMMYFUNCTION("""COMPUTED_VALUE"""),"Kirlia")</f>
        <v>Kirlia</v>
      </c>
      <c r="B81" s="16">
        <f ca="1">IFERROR(__xludf.DUMMYFUNCTION("""COMPUTED_VALUE"""),80)</f>
        <v>80</v>
      </c>
      <c r="C81" s="3" t="str">
        <f ca="1">IFERROR(__xludf.DUMMYFUNCTION("""COMPUTED_VALUE"""),"Psychic")</f>
        <v>Psychic</v>
      </c>
      <c r="D81" s="3" t="str">
        <f ca="1">IFERROR(__xludf.DUMMYFUNCTION("""COMPUTED_VALUE"""),"Fairy")</f>
        <v>Fairy</v>
      </c>
      <c r="E81" s="17">
        <f ca="1">IFERROR(__xludf.DUMMYFUNCTION("""COMPUTED_VALUE"""),38)</f>
        <v>38</v>
      </c>
      <c r="F81" s="17">
        <f ca="1">IFERROR(__xludf.DUMMYFUNCTION("""COMPUTED_VALUE"""),0)</f>
        <v>0</v>
      </c>
      <c r="G81" s="18">
        <f ca="1">IFERROR(__xludf.DUMMYFUNCTION("""COMPUTED_VALUE"""),35)</f>
        <v>35</v>
      </c>
      <c r="H81" s="18">
        <f ca="1">IFERROR(__xludf.DUMMYFUNCTION("""COMPUTED_VALUE"""),0)</f>
        <v>0</v>
      </c>
      <c r="I81" s="19">
        <f ca="1">IFERROR(__xludf.DUMMYFUNCTION("""COMPUTED_VALUE"""),35)</f>
        <v>35</v>
      </c>
      <c r="J81" s="19">
        <f ca="1">IFERROR(__xludf.DUMMYFUNCTION("""COMPUTED_VALUE"""),0)</f>
        <v>0</v>
      </c>
      <c r="K81" s="20">
        <f ca="1">IFERROR(__xludf.DUMMYFUNCTION("""COMPUTED_VALUE"""),65)</f>
        <v>65</v>
      </c>
      <c r="L81" s="20">
        <f ca="1">IFERROR(__xludf.DUMMYFUNCTION("""COMPUTED_VALUE"""),0)</f>
        <v>0</v>
      </c>
      <c r="M81" s="21">
        <f ca="1">IFERROR(__xludf.DUMMYFUNCTION("""COMPUTED_VALUE"""),55)</f>
        <v>55</v>
      </c>
      <c r="N81" s="21">
        <f ca="1">IFERROR(__xludf.DUMMYFUNCTION("""COMPUTED_VALUE"""),0)</f>
        <v>0</v>
      </c>
      <c r="O81" s="22">
        <f ca="1">IFERROR(__xludf.DUMMYFUNCTION("""COMPUTED_VALUE"""),50)</f>
        <v>50</v>
      </c>
      <c r="P81" s="22">
        <f ca="1">IFERROR(__xludf.DUMMYFUNCTION("""COMPUTED_VALUE"""),0)</f>
        <v>0</v>
      </c>
      <c r="Q81" s="23">
        <f ca="1">IFERROR(__xludf.DUMMYFUNCTION("""COMPUTED_VALUE"""),278)</f>
        <v>278</v>
      </c>
      <c r="R81" s="23">
        <f ca="1">IFERROR(__xludf.DUMMYFUNCTION("""COMPUTED_VALUE"""),0)</f>
        <v>0</v>
      </c>
      <c r="S81" s="24" t="str">
        <f ca="1">IFERROR(__xludf.DUMMYFUNCTION("""COMPUTED_VALUE"""),"Synchronize")</f>
        <v>Synchronize</v>
      </c>
      <c r="T81" s="24" t="str">
        <f ca="1">IFERROR(__xludf.DUMMYFUNCTION("""COMPUTED_VALUE"""),"Trace")</f>
        <v>Trace</v>
      </c>
      <c r="U81" s="24" t="str">
        <f ca="1">IFERROR(__xludf.DUMMYFUNCTION("""COMPUTED_VALUE"""),"Telepathy")</f>
        <v>Telepathy</v>
      </c>
      <c r="V81" s="25" t="str">
        <f ca="1">IFERROR(__xludf.DUMMYFUNCTION("""COMPUTED_VALUE"""),"Lv. 20")</f>
        <v>Lv. 20</v>
      </c>
      <c r="W81" s="25"/>
      <c r="X81" s="25"/>
      <c r="Y81" s="25" t="str">
        <f ca="1">IFERROR(__xludf.DUMMYFUNCTION("""COMPUTED_VALUE"""),"Corrin Crossing (wild)")</f>
        <v>Corrin Crossing (wild)</v>
      </c>
    </row>
    <row r="82" spans="1:25" x14ac:dyDescent="0.25">
      <c r="A82" s="15" t="str">
        <f ca="1">IFERROR(__xludf.DUMMYFUNCTION("""COMPUTED_VALUE"""),"Gardevoir")</f>
        <v>Gardevoir</v>
      </c>
      <c r="B82" s="16">
        <f ca="1">IFERROR(__xludf.DUMMYFUNCTION("""COMPUTED_VALUE"""),81)</f>
        <v>81</v>
      </c>
      <c r="C82" s="3" t="str">
        <f ca="1">IFERROR(__xludf.DUMMYFUNCTION("""COMPUTED_VALUE"""),"Psychic")</f>
        <v>Psychic</v>
      </c>
      <c r="D82" s="3" t="str">
        <f ca="1">IFERROR(__xludf.DUMMYFUNCTION("""COMPUTED_VALUE"""),"Fairy")</f>
        <v>Fairy</v>
      </c>
      <c r="E82" s="17">
        <f ca="1">IFERROR(__xludf.DUMMYFUNCTION("""COMPUTED_VALUE"""),68)</f>
        <v>68</v>
      </c>
      <c r="F82" s="17">
        <f ca="1">IFERROR(__xludf.DUMMYFUNCTION("""COMPUTED_VALUE"""),0)</f>
        <v>0</v>
      </c>
      <c r="G82" s="18">
        <f ca="1">IFERROR(__xludf.DUMMYFUNCTION("""COMPUTED_VALUE"""),65)</f>
        <v>65</v>
      </c>
      <c r="H82" s="18">
        <f ca="1">IFERROR(__xludf.DUMMYFUNCTION("""COMPUTED_VALUE"""),0)</f>
        <v>0</v>
      </c>
      <c r="I82" s="19">
        <f ca="1">IFERROR(__xludf.DUMMYFUNCTION("""COMPUTED_VALUE"""),65)</f>
        <v>65</v>
      </c>
      <c r="J82" s="19">
        <f ca="1">IFERROR(__xludf.DUMMYFUNCTION("""COMPUTED_VALUE"""),0)</f>
        <v>0</v>
      </c>
      <c r="K82" s="20">
        <f ca="1">IFERROR(__xludf.DUMMYFUNCTION("""COMPUTED_VALUE"""),125)</f>
        <v>125</v>
      </c>
      <c r="L82" s="20">
        <f ca="1">IFERROR(__xludf.DUMMYFUNCTION("""COMPUTED_VALUE"""),0)</f>
        <v>0</v>
      </c>
      <c r="M82" s="21">
        <f ca="1">IFERROR(__xludf.DUMMYFUNCTION("""COMPUTED_VALUE"""),115)</f>
        <v>115</v>
      </c>
      <c r="N82" s="21">
        <f ca="1">IFERROR(__xludf.DUMMYFUNCTION("""COMPUTED_VALUE"""),0)</f>
        <v>0</v>
      </c>
      <c r="O82" s="22">
        <f ca="1">IFERROR(__xludf.DUMMYFUNCTION("""COMPUTED_VALUE"""),80)</f>
        <v>80</v>
      </c>
      <c r="P82" s="22">
        <f ca="1">IFERROR(__xludf.DUMMYFUNCTION("""COMPUTED_VALUE"""),0)</f>
        <v>0</v>
      </c>
      <c r="Q82" s="23">
        <f ca="1">IFERROR(__xludf.DUMMYFUNCTION("""COMPUTED_VALUE"""),518)</f>
        <v>518</v>
      </c>
      <c r="R82" s="23">
        <f ca="1">IFERROR(__xludf.DUMMYFUNCTION("""COMPUTED_VALUE"""),0)</f>
        <v>0</v>
      </c>
      <c r="S82" s="24" t="str">
        <f ca="1">IFERROR(__xludf.DUMMYFUNCTION("""COMPUTED_VALUE"""),"Synchronize")</f>
        <v>Synchronize</v>
      </c>
      <c r="T82" s="24" t="str">
        <f ca="1">IFERROR(__xludf.DUMMYFUNCTION("""COMPUTED_VALUE"""),"Trace")</f>
        <v>Trace</v>
      </c>
      <c r="U82" s="24" t="str">
        <f ca="1">IFERROR(__xludf.DUMMYFUNCTION("""COMPUTED_VALUE"""),"Telepathy")</f>
        <v>Telepathy</v>
      </c>
      <c r="V82" s="25" t="str">
        <f ca="1">IFERROR(__xludf.DUMMYFUNCTION("""COMPUTED_VALUE"""),"Lv. 30")</f>
        <v>Lv. 30</v>
      </c>
      <c r="W82" s="25"/>
      <c r="X82" s="25"/>
      <c r="Y82" s="25" t="str">
        <f ca="1">IFERROR(__xludf.DUMMYFUNCTION("""COMPUTED_VALUE"""),"Kirlia (evolve)")</f>
        <v>Kirlia (evolve)</v>
      </c>
    </row>
    <row r="83" spans="1:25" x14ac:dyDescent="0.25">
      <c r="A83" s="15" t="str">
        <f ca="1">IFERROR(__xludf.DUMMYFUNCTION("""COMPUTED_VALUE"""),"Gallade")</f>
        <v>Gallade</v>
      </c>
      <c r="B83" s="16">
        <f ca="1">IFERROR(__xludf.DUMMYFUNCTION("""COMPUTED_VALUE"""),82)</f>
        <v>82</v>
      </c>
      <c r="C83" s="3" t="str">
        <f ca="1">IFERROR(__xludf.DUMMYFUNCTION("""COMPUTED_VALUE"""),"Psychic")</f>
        <v>Psychic</v>
      </c>
      <c r="D83" s="3" t="str">
        <f ca="1">IFERROR(__xludf.DUMMYFUNCTION("""COMPUTED_VALUE"""),"Fighting")</f>
        <v>Fighting</v>
      </c>
      <c r="E83" s="17">
        <f ca="1">IFERROR(__xludf.DUMMYFUNCTION("""COMPUTED_VALUE"""),68)</f>
        <v>68</v>
      </c>
      <c r="F83" s="17">
        <f ca="1">IFERROR(__xludf.DUMMYFUNCTION("""COMPUTED_VALUE"""),0)</f>
        <v>0</v>
      </c>
      <c r="G83" s="18">
        <f ca="1">IFERROR(__xludf.DUMMYFUNCTION("""COMPUTED_VALUE"""),125)</f>
        <v>125</v>
      </c>
      <c r="H83" s="18">
        <f ca="1">IFERROR(__xludf.DUMMYFUNCTION("""COMPUTED_VALUE"""),0)</f>
        <v>0</v>
      </c>
      <c r="I83" s="19">
        <f ca="1">IFERROR(__xludf.DUMMYFUNCTION("""COMPUTED_VALUE"""),65)</f>
        <v>65</v>
      </c>
      <c r="J83" s="19">
        <f ca="1">IFERROR(__xludf.DUMMYFUNCTION("""COMPUTED_VALUE"""),0)</f>
        <v>0</v>
      </c>
      <c r="K83" s="20">
        <f ca="1">IFERROR(__xludf.DUMMYFUNCTION("""COMPUTED_VALUE"""),65)</f>
        <v>65</v>
      </c>
      <c r="L83" s="20">
        <f ca="1">IFERROR(__xludf.DUMMYFUNCTION("""COMPUTED_VALUE"""),0)</f>
        <v>0</v>
      </c>
      <c r="M83" s="21">
        <f ca="1">IFERROR(__xludf.DUMMYFUNCTION("""COMPUTED_VALUE"""),115)</f>
        <v>115</v>
      </c>
      <c r="N83" s="21">
        <f ca="1">IFERROR(__xludf.DUMMYFUNCTION("""COMPUTED_VALUE"""),0)</f>
        <v>0</v>
      </c>
      <c r="O83" s="22">
        <f ca="1">IFERROR(__xludf.DUMMYFUNCTION("""COMPUTED_VALUE"""),80)</f>
        <v>80</v>
      </c>
      <c r="P83" s="22">
        <f ca="1">IFERROR(__xludf.DUMMYFUNCTION("""COMPUTED_VALUE"""),0)</f>
        <v>0</v>
      </c>
      <c r="Q83" s="23">
        <f ca="1">IFERROR(__xludf.DUMMYFUNCTION("""COMPUTED_VALUE"""),518)</f>
        <v>518</v>
      </c>
      <c r="R83" s="23">
        <f ca="1">IFERROR(__xludf.DUMMYFUNCTION("""COMPUTED_VALUE"""),0)</f>
        <v>0</v>
      </c>
      <c r="S83" s="24" t="str">
        <f ca="1">IFERROR(__xludf.DUMMYFUNCTION("""COMPUTED_VALUE"""),"Steadfast")</f>
        <v>Steadfast</v>
      </c>
      <c r="T83" s="24" t="str">
        <f ca="1">IFERROR(__xludf.DUMMYFUNCTION("""COMPUTED_VALUE"""),"Sharpness")</f>
        <v>Sharpness</v>
      </c>
      <c r="U83" s="24" t="str">
        <f ca="1">IFERROR(__xludf.DUMMYFUNCTION("""COMPUTED_VALUE"""),"Justified")</f>
        <v>Justified</v>
      </c>
      <c r="V83" s="25" t="str">
        <f ca="1">IFERROR(__xludf.DUMMYFUNCTION("""COMPUTED_VALUE"""),"Dawn Stone")</f>
        <v>Dawn Stone</v>
      </c>
      <c r="W83" s="25"/>
      <c r="X83" s="25"/>
      <c r="Y83" s="25" t="str">
        <f ca="1">IFERROR(__xludf.DUMMYFUNCTION("""COMPUTED_VALUE"""),"Kirlia (evolve)")</f>
        <v>Kirlia (evolve)</v>
      </c>
    </row>
    <row r="84" spans="1:25" x14ac:dyDescent="0.25">
      <c r="A84" s="15" t="str">
        <f ca="1">IFERROR(__xludf.DUMMYFUNCTION("""COMPUTED_VALUE"""),"Eevee")</f>
        <v>Eevee</v>
      </c>
      <c r="B84" s="16">
        <f ca="1">IFERROR(__xludf.DUMMYFUNCTION("""COMPUTED_VALUE"""),83)</f>
        <v>83</v>
      </c>
      <c r="C84" s="3" t="str">
        <f ca="1">IFERROR(__xludf.DUMMYFUNCTION("""COMPUTED_VALUE"""),"Normal")</f>
        <v>Normal</v>
      </c>
      <c r="D84" s="3"/>
      <c r="E84" s="17">
        <f ca="1">IFERROR(__xludf.DUMMYFUNCTION("""COMPUTED_VALUE"""),55)</f>
        <v>55</v>
      </c>
      <c r="F84" s="17">
        <f ca="1">IFERROR(__xludf.DUMMYFUNCTION("""COMPUTED_VALUE"""),0)</f>
        <v>0</v>
      </c>
      <c r="G84" s="18">
        <f ca="1">IFERROR(__xludf.DUMMYFUNCTION("""COMPUTED_VALUE"""),55)</f>
        <v>55</v>
      </c>
      <c r="H84" s="18">
        <f ca="1">IFERROR(__xludf.DUMMYFUNCTION("""COMPUTED_VALUE"""),0)</f>
        <v>0</v>
      </c>
      <c r="I84" s="19">
        <f ca="1">IFERROR(__xludf.DUMMYFUNCTION("""COMPUTED_VALUE"""),50)</f>
        <v>50</v>
      </c>
      <c r="J84" s="19">
        <f ca="1">IFERROR(__xludf.DUMMYFUNCTION("""COMPUTED_VALUE"""),0)</f>
        <v>0</v>
      </c>
      <c r="K84" s="20">
        <f ca="1">IFERROR(__xludf.DUMMYFUNCTION("""COMPUTED_VALUE"""),45)</f>
        <v>45</v>
      </c>
      <c r="L84" s="20">
        <f ca="1">IFERROR(__xludf.DUMMYFUNCTION("""COMPUTED_VALUE"""),0)</f>
        <v>0</v>
      </c>
      <c r="M84" s="21">
        <f ca="1">IFERROR(__xludf.DUMMYFUNCTION("""COMPUTED_VALUE"""),65)</f>
        <v>65</v>
      </c>
      <c r="N84" s="21">
        <f ca="1">IFERROR(__xludf.DUMMYFUNCTION("""COMPUTED_VALUE"""),0)</f>
        <v>0</v>
      </c>
      <c r="O84" s="22">
        <f ca="1">IFERROR(__xludf.DUMMYFUNCTION("""COMPUTED_VALUE"""),55)</f>
        <v>55</v>
      </c>
      <c r="P84" s="22">
        <f ca="1">IFERROR(__xludf.DUMMYFUNCTION("""COMPUTED_VALUE"""),0)</f>
        <v>0</v>
      </c>
      <c r="Q84" s="23">
        <f ca="1">IFERROR(__xludf.DUMMYFUNCTION("""COMPUTED_VALUE"""),325)</f>
        <v>325</v>
      </c>
      <c r="R84" s="23">
        <f ca="1">IFERROR(__xludf.DUMMYFUNCTION("""COMPUTED_VALUE"""),0)</f>
        <v>0</v>
      </c>
      <c r="S84" s="24" t="str">
        <f ca="1">IFERROR(__xludf.DUMMYFUNCTION("""COMPUTED_VALUE"""),"Run Away")</f>
        <v>Run Away</v>
      </c>
      <c r="T84" s="24" t="str">
        <f ca="1">IFERROR(__xludf.DUMMYFUNCTION("""COMPUTED_VALUE"""),"Adaptability")</f>
        <v>Adaptability</v>
      </c>
      <c r="U84" s="24" t="str">
        <f ca="1">IFERROR(__xludf.DUMMYFUNCTION("""COMPUTED_VALUE"""),"Anticipation")</f>
        <v>Anticipation</v>
      </c>
      <c r="V84" s="25"/>
      <c r="W84" s="25"/>
      <c r="X84" s="25"/>
      <c r="Y84" s="25" t="str">
        <f ca="1">IFERROR(__xludf.DUMMYFUNCTION("""COMPUTED_VALUE"""),"Jusmail Town (wild)")</f>
        <v>Jusmail Town (wild)</v>
      </c>
    </row>
    <row r="85" spans="1:25" x14ac:dyDescent="0.25">
      <c r="A85" s="15" t="str">
        <f ca="1">IFERROR(__xludf.DUMMYFUNCTION("""COMPUTED_VALUE"""),"Vaporeon")</f>
        <v>Vaporeon</v>
      </c>
      <c r="B85" s="16">
        <f ca="1">IFERROR(__xludf.DUMMYFUNCTION("""COMPUTED_VALUE"""),84)</f>
        <v>84</v>
      </c>
      <c r="C85" s="3" t="str">
        <f ca="1">IFERROR(__xludf.DUMMYFUNCTION("""COMPUTED_VALUE"""),"Water")</f>
        <v>Water</v>
      </c>
      <c r="D85" s="3"/>
      <c r="E85" s="17">
        <f ca="1">IFERROR(__xludf.DUMMYFUNCTION("""COMPUTED_VALUE"""),135)</f>
        <v>135</v>
      </c>
      <c r="F85" s="17">
        <f ca="1">IFERROR(__xludf.DUMMYFUNCTION("""COMPUTED_VALUE"""),5)</f>
        <v>5</v>
      </c>
      <c r="G85" s="18">
        <f ca="1">IFERROR(__xludf.DUMMYFUNCTION("""COMPUTED_VALUE"""),65)</f>
        <v>65</v>
      </c>
      <c r="H85" s="18">
        <f ca="1">IFERROR(__xludf.DUMMYFUNCTION("""COMPUTED_VALUE"""),0)</f>
        <v>0</v>
      </c>
      <c r="I85" s="19">
        <f ca="1">IFERROR(__xludf.DUMMYFUNCTION("""COMPUTED_VALUE"""),65)</f>
        <v>65</v>
      </c>
      <c r="J85" s="19">
        <f ca="1">IFERROR(__xludf.DUMMYFUNCTION("""COMPUTED_VALUE"""),5)</f>
        <v>5</v>
      </c>
      <c r="K85" s="20">
        <f ca="1">IFERROR(__xludf.DUMMYFUNCTION("""COMPUTED_VALUE"""),110)</f>
        <v>110</v>
      </c>
      <c r="L85" s="20">
        <f ca="1">IFERROR(__xludf.DUMMYFUNCTION("""COMPUTED_VALUE"""),0)</f>
        <v>0</v>
      </c>
      <c r="M85" s="21">
        <f ca="1">IFERROR(__xludf.DUMMYFUNCTION("""COMPUTED_VALUE"""),95)</f>
        <v>95</v>
      </c>
      <c r="N85" s="21">
        <f ca="1">IFERROR(__xludf.DUMMYFUNCTION("""COMPUTED_VALUE"""),0)</f>
        <v>0</v>
      </c>
      <c r="O85" s="22">
        <f ca="1">IFERROR(__xludf.DUMMYFUNCTION("""COMPUTED_VALUE"""),65)</f>
        <v>65</v>
      </c>
      <c r="P85" s="22">
        <f ca="1">IFERROR(__xludf.DUMMYFUNCTION("""COMPUTED_VALUE"""),0)</f>
        <v>0</v>
      </c>
      <c r="Q85" s="23">
        <f ca="1">IFERROR(__xludf.DUMMYFUNCTION("""COMPUTED_VALUE"""),535)</f>
        <v>535</v>
      </c>
      <c r="R85" s="23">
        <f ca="1">IFERROR(__xludf.DUMMYFUNCTION("""COMPUTED_VALUE"""),10)</f>
        <v>10</v>
      </c>
      <c r="S85" s="24" t="str">
        <f ca="1">IFERROR(__xludf.DUMMYFUNCTION("""COMPUTED_VALUE"""),"Water Absorb")</f>
        <v>Water Absorb</v>
      </c>
      <c r="T85" s="24" t="str">
        <f ca="1">IFERROR(__xludf.DUMMYFUNCTION("""COMPUTED_VALUE"""),"Adaptability")</f>
        <v>Adaptability</v>
      </c>
      <c r="U85" s="25" t="str">
        <f ca="1">IFERROR(__xludf.DUMMYFUNCTION("""COMPUTED_VALUE"""),"Piscivore (Aqua Ring on entry)")</f>
        <v>Piscivore (Aqua Ring on entry)</v>
      </c>
      <c r="V85" s="25" t="str">
        <f ca="1">IFERROR(__xludf.DUMMYFUNCTION("""COMPUTED_VALUE"""),"Water Stone")</f>
        <v>Water Stone</v>
      </c>
      <c r="W85" s="25"/>
      <c r="X85" s="25"/>
      <c r="Y85" s="25" t="str">
        <f ca="1">IFERROR(__xludf.DUMMYFUNCTION("""COMPUTED_VALUE"""),"Eevee (evolve)")</f>
        <v>Eevee (evolve)</v>
      </c>
    </row>
    <row r="86" spans="1:25" x14ac:dyDescent="0.25">
      <c r="A86" s="15" t="str">
        <f ca="1">IFERROR(__xludf.DUMMYFUNCTION("""COMPUTED_VALUE"""),"Jolteon")</f>
        <v>Jolteon</v>
      </c>
      <c r="B86" s="16">
        <f ca="1">IFERROR(__xludf.DUMMYFUNCTION("""COMPUTED_VALUE"""),85)</f>
        <v>85</v>
      </c>
      <c r="C86" s="3" t="str">
        <f ca="1">IFERROR(__xludf.DUMMYFUNCTION("""COMPUTED_VALUE"""),"Electric")</f>
        <v>Electric</v>
      </c>
      <c r="D86" s="3"/>
      <c r="E86" s="17">
        <f ca="1">IFERROR(__xludf.DUMMYFUNCTION("""COMPUTED_VALUE"""),65)</f>
        <v>65</v>
      </c>
      <c r="F86" s="17">
        <f ca="1">IFERROR(__xludf.DUMMYFUNCTION("""COMPUTED_VALUE"""),0)</f>
        <v>0</v>
      </c>
      <c r="G86" s="18">
        <f ca="1">IFERROR(__xludf.DUMMYFUNCTION("""COMPUTED_VALUE"""),95)</f>
        <v>95</v>
      </c>
      <c r="H86" s="18">
        <f ca="1">IFERROR(__xludf.DUMMYFUNCTION("""COMPUTED_VALUE"""),30)</f>
        <v>30</v>
      </c>
      <c r="I86" s="19">
        <f ca="1">IFERROR(__xludf.DUMMYFUNCTION("""COMPUTED_VALUE"""),65)</f>
        <v>65</v>
      </c>
      <c r="J86" s="19">
        <f ca="1">IFERROR(__xludf.DUMMYFUNCTION("""COMPUTED_VALUE"""),5)</f>
        <v>5</v>
      </c>
      <c r="K86" s="20">
        <f ca="1">IFERROR(__xludf.DUMMYFUNCTION("""COMPUTED_VALUE"""),115)</f>
        <v>115</v>
      </c>
      <c r="L86" s="20">
        <f ca="1">IFERROR(__xludf.DUMMYFUNCTION("""COMPUTED_VALUE"""),5)</f>
        <v>5</v>
      </c>
      <c r="M86" s="21">
        <f ca="1">IFERROR(__xludf.DUMMYFUNCTION("""COMPUTED_VALUE"""),65)</f>
        <v>65</v>
      </c>
      <c r="N86" s="21">
        <f ca="1">IFERROR(__xludf.DUMMYFUNCTION("""COMPUTED_VALUE"""),-30)</f>
        <v>-30</v>
      </c>
      <c r="O86" s="22">
        <f ca="1">IFERROR(__xludf.DUMMYFUNCTION("""COMPUTED_VALUE"""),130)</f>
        <v>130</v>
      </c>
      <c r="P86" s="22">
        <f ca="1">IFERROR(__xludf.DUMMYFUNCTION("""COMPUTED_VALUE"""),0)</f>
        <v>0</v>
      </c>
      <c r="Q86" s="23">
        <f ca="1">IFERROR(__xludf.DUMMYFUNCTION("""COMPUTED_VALUE"""),535)</f>
        <v>535</v>
      </c>
      <c r="R86" s="23">
        <f ca="1">IFERROR(__xludf.DUMMYFUNCTION("""COMPUTED_VALUE"""),10)</f>
        <v>10</v>
      </c>
      <c r="S86" s="24" t="str">
        <f ca="1">IFERROR(__xludf.DUMMYFUNCTION("""COMPUTED_VALUE"""),"Volt Absorb")</f>
        <v>Volt Absorb</v>
      </c>
      <c r="T86" s="24" t="str">
        <f ca="1">IFERROR(__xludf.DUMMYFUNCTION("""COMPUTED_VALUE"""),"Adaptability")</f>
        <v>Adaptability</v>
      </c>
      <c r="U86" s="24" t="str">
        <f ca="1">IFERROR(__xludf.DUMMYFUNCTION("""COMPUTED_VALUE"""),"Strong Legs")</f>
        <v>Strong Legs</v>
      </c>
      <c r="V86" s="25" t="str">
        <f ca="1">IFERROR(__xludf.DUMMYFUNCTION("""COMPUTED_VALUE"""),"Thunder Stone")</f>
        <v>Thunder Stone</v>
      </c>
      <c r="W86" s="25"/>
      <c r="X86" s="25"/>
      <c r="Y86" s="25" t="str">
        <f ca="1">IFERROR(__xludf.DUMMYFUNCTION("""COMPUTED_VALUE"""),"Eevee (evolve)")</f>
        <v>Eevee (evolve)</v>
      </c>
    </row>
    <row r="87" spans="1:25" x14ac:dyDescent="0.25">
      <c r="A87" s="15" t="str">
        <f ca="1">IFERROR(__xludf.DUMMYFUNCTION("""COMPUTED_VALUE"""),"Flareon")</f>
        <v>Flareon</v>
      </c>
      <c r="B87" s="16">
        <f ca="1">IFERROR(__xludf.DUMMYFUNCTION("""COMPUTED_VALUE"""),86)</f>
        <v>86</v>
      </c>
      <c r="C87" s="3" t="str">
        <f ca="1">IFERROR(__xludf.DUMMYFUNCTION("""COMPUTED_VALUE"""),"Fire")</f>
        <v>Fire</v>
      </c>
      <c r="D87" s="3"/>
      <c r="E87" s="17">
        <f ca="1">IFERROR(__xludf.DUMMYFUNCTION("""COMPUTED_VALUE"""),75)</f>
        <v>75</v>
      </c>
      <c r="F87" s="17">
        <f ca="1">IFERROR(__xludf.DUMMYFUNCTION("""COMPUTED_VALUE"""),10)</f>
        <v>10</v>
      </c>
      <c r="G87" s="18">
        <f ca="1">IFERROR(__xludf.DUMMYFUNCTION("""COMPUTED_VALUE"""),130)</f>
        <v>130</v>
      </c>
      <c r="H87" s="18">
        <f ca="1">IFERROR(__xludf.DUMMYFUNCTION("""COMPUTED_VALUE"""),0)</f>
        <v>0</v>
      </c>
      <c r="I87" s="19">
        <f ca="1">IFERROR(__xludf.DUMMYFUNCTION("""COMPUTED_VALUE"""),60)</f>
        <v>60</v>
      </c>
      <c r="J87" s="19">
        <f ca="1">IFERROR(__xludf.DUMMYFUNCTION("""COMPUTED_VALUE"""),0)</f>
        <v>0</v>
      </c>
      <c r="K87" s="20">
        <f ca="1">IFERROR(__xludf.DUMMYFUNCTION("""COMPUTED_VALUE"""),95)</f>
        <v>95</v>
      </c>
      <c r="L87" s="20">
        <f ca="1">IFERROR(__xludf.DUMMYFUNCTION("""COMPUTED_VALUE"""),0)</f>
        <v>0</v>
      </c>
      <c r="M87" s="21">
        <f ca="1">IFERROR(__xludf.DUMMYFUNCTION("""COMPUTED_VALUE"""),110)</f>
        <v>110</v>
      </c>
      <c r="N87" s="21">
        <f ca="1">IFERROR(__xludf.DUMMYFUNCTION("""COMPUTED_VALUE"""),0)</f>
        <v>0</v>
      </c>
      <c r="O87" s="22">
        <f ca="1">IFERROR(__xludf.DUMMYFUNCTION("""COMPUTED_VALUE"""),65)</f>
        <v>65</v>
      </c>
      <c r="P87" s="22">
        <f ca="1">IFERROR(__xludf.DUMMYFUNCTION("""COMPUTED_VALUE"""),0)</f>
        <v>0</v>
      </c>
      <c r="Q87" s="23">
        <f ca="1">IFERROR(__xludf.DUMMYFUNCTION("""COMPUTED_VALUE"""),535)</f>
        <v>535</v>
      </c>
      <c r="R87" s="23">
        <f ca="1">IFERROR(__xludf.DUMMYFUNCTION("""COMPUTED_VALUE"""),10)</f>
        <v>10</v>
      </c>
      <c r="S87" s="24" t="str">
        <f ca="1">IFERROR(__xludf.DUMMYFUNCTION("""COMPUTED_VALUE"""),"Fur Coat")</f>
        <v>Fur Coat</v>
      </c>
      <c r="T87" s="24" t="str">
        <f ca="1">IFERROR(__xludf.DUMMYFUNCTION("""COMPUTED_VALUE"""),"Adaptability")</f>
        <v>Adaptability</v>
      </c>
      <c r="U87" s="24" t="str">
        <f ca="1">IFERROR(__xludf.DUMMYFUNCTION("""COMPUTED_VALUE"""),"Strong Legs")</f>
        <v>Strong Legs</v>
      </c>
      <c r="V87" s="25" t="str">
        <f ca="1">IFERROR(__xludf.DUMMYFUNCTION("""COMPUTED_VALUE"""),"Fire Stone")</f>
        <v>Fire Stone</v>
      </c>
      <c r="W87" s="25"/>
      <c r="X87" s="25"/>
      <c r="Y87" s="25" t="str">
        <f ca="1">IFERROR(__xludf.DUMMYFUNCTION("""COMPUTED_VALUE"""),"Eevee (evolve)")</f>
        <v>Eevee (evolve)</v>
      </c>
    </row>
    <row r="88" spans="1:25" x14ac:dyDescent="0.25">
      <c r="A88" s="15" t="str">
        <f ca="1">IFERROR(__xludf.DUMMYFUNCTION("""COMPUTED_VALUE"""),"Espeon")</f>
        <v>Espeon</v>
      </c>
      <c r="B88" s="16">
        <f ca="1">IFERROR(__xludf.DUMMYFUNCTION("""COMPUTED_VALUE"""),87)</f>
        <v>87</v>
      </c>
      <c r="C88" s="3" t="str">
        <f ca="1">IFERROR(__xludf.DUMMYFUNCTION("""COMPUTED_VALUE"""),"Psychic")</f>
        <v>Psychic</v>
      </c>
      <c r="D88" s="3"/>
      <c r="E88" s="17">
        <f ca="1">IFERROR(__xludf.DUMMYFUNCTION("""COMPUTED_VALUE"""),75)</f>
        <v>75</v>
      </c>
      <c r="F88" s="17">
        <f ca="1">IFERROR(__xludf.DUMMYFUNCTION("""COMPUTED_VALUE"""),10)</f>
        <v>10</v>
      </c>
      <c r="G88" s="18">
        <f ca="1">IFERROR(__xludf.DUMMYFUNCTION("""COMPUTED_VALUE"""),65)</f>
        <v>65</v>
      </c>
      <c r="H88" s="18">
        <f ca="1">IFERROR(__xludf.DUMMYFUNCTION("""COMPUTED_VALUE"""),0)</f>
        <v>0</v>
      </c>
      <c r="I88" s="19">
        <f ca="1">IFERROR(__xludf.DUMMYFUNCTION("""COMPUTED_VALUE"""),60)</f>
        <v>60</v>
      </c>
      <c r="J88" s="19">
        <f ca="1">IFERROR(__xludf.DUMMYFUNCTION("""COMPUTED_VALUE"""),0)</f>
        <v>0</v>
      </c>
      <c r="K88" s="20">
        <f ca="1">IFERROR(__xludf.DUMMYFUNCTION("""COMPUTED_VALUE"""),130)</f>
        <v>130</v>
      </c>
      <c r="L88" s="20">
        <f ca="1">IFERROR(__xludf.DUMMYFUNCTION("""COMPUTED_VALUE"""),0)</f>
        <v>0</v>
      </c>
      <c r="M88" s="21">
        <f ca="1">IFERROR(__xludf.DUMMYFUNCTION("""COMPUTED_VALUE"""),95)</f>
        <v>95</v>
      </c>
      <c r="N88" s="21">
        <f ca="1">IFERROR(__xludf.DUMMYFUNCTION("""COMPUTED_VALUE"""),0)</f>
        <v>0</v>
      </c>
      <c r="O88" s="22">
        <f ca="1">IFERROR(__xludf.DUMMYFUNCTION("""COMPUTED_VALUE"""),110)</f>
        <v>110</v>
      </c>
      <c r="P88" s="22">
        <f ca="1">IFERROR(__xludf.DUMMYFUNCTION("""COMPUTED_VALUE"""),0)</f>
        <v>0</v>
      </c>
      <c r="Q88" s="23">
        <f ca="1">IFERROR(__xludf.DUMMYFUNCTION("""COMPUTED_VALUE"""),535)</f>
        <v>535</v>
      </c>
      <c r="R88" s="23">
        <f ca="1">IFERROR(__xludf.DUMMYFUNCTION("""COMPUTED_VALUE"""),10)</f>
        <v>10</v>
      </c>
      <c r="S88" s="24" t="str">
        <f ca="1">IFERROR(__xludf.DUMMYFUNCTION("""COMPUTED_VALUE"""),"Synchronize")</f>
        <v>Synchronize</v>
      </c>
      <c r="T88" s="24" t="str">
        <f ca="1">IFERROR(__xludf.DUMMYFUNCTION("""COMPUTED_VALUE"""),"Adaptability")</f>
        <v>Adaptability</v>
      </c>
      <c r="U88" s="24" t="str">
        <f ca="1">IFERROR(__xludf.DUMMYFUNCTION("""COMPUTED_VALUE"""),"Magic Bounce")</f>
        <v>Magic Bounce</v>
      </c>
      <c r="V88" s="25" t="str">
        <f ca="1">IFERROR(__xludf.DUMMYFUNCTION("""COMPUTED_VALUE"""),"Sun Stone")</f>
        <v>Sun Stone</v>
      </c>
      <c r="W88" s="25"/>
      <c r="X88" s="25"/>
      <c r="Y88" s="25" t="str">
        <f ca="1">IFERROR(__xludf.DUMMYFUNCTION("""COMPUTED_VALUE"""),"Eevee (evolve)")</f>
        <v>Eevee (evolve)</v>
      </c>
    </row>
    <row r="89" spans="1:25" x14ac:dyDescent="0.25">
      <c r="A89" s="15" t="str">
        <f ca="1">IFERROR(__xludf.DUMMYFUNCTION("""COMPUTED_VALUE"""),"Umbreon")</f>
        <v>Umbreon</v>
      </c>
      <c r="B89" s="16">
        <f ca="1">IFERROR(__xludf.DUMMYFUNCTION("""COMPUTED_VALUE"""),88)</f>
        <v>88</v>
      </c>
      <c r="C89" s="3" t="str">
        <f ca="1">IFERROR(__xludf.DUMMYFUNCTION("""COMPUTED_VALUE"""),"Dark")</f>
        <v>Dark</v>
      </c>
      <c r="D89" s="3"/>
      <c r="E89" s="17">
        <f ca="1">IFERROR(__xludf.DUMMYFUNCTION("""COMPUTED_VALUE"""),95)</f>
        <v>95</v>
      </c>
      <c r="F89" s="17">
        <f ca="1">IFERROR(__xludf.DUMMYFUNCTION("""COMPUTED_VALUE"""),0)</f>
        <v>0</v>
      </c>
      <c r="G89" s="18">
        <f ca="1">IFERROR(__xludf.DUMMYFUNCTION("""COMPUTED_VALUE"""),70)</f>
        <v>70</v>
      </c>
      <c r="H89" s="18">
        <f ca="1">IFERROR(__xludf.DUMMYFUNCTION("""COMPUTED_VALUE"""),5)</f>
        <v>5</v>
      </c>
      <c r="I89" s="19">
        <f ca="1">IFERROR(__xludf.DUMMYFUNCTION("""COMPUTED_VALUE"""),110)</f>
        <v>110</v>
      </c>
      <c r="J89" s="19">
        <f ca="1">IFERROR(__xludf.DUMMYFUNCTION("""COMPUTED_VALUE"""),0)</f>
        <v>0</v>
      </c>
      <c r="K89" s="20">
        <f ca="1">IFERROR(__xludf.DUMMYFUNCTION("""COMPUTED_VALUE"""),65)</f>
        <v>65</v>
      </c>
      <c r="L89" s="20">
        <f ca="1">IFERROR(__xludf.DUMMYFUNCTION("""COMPUTED_VALUE"""),5)</f>
        <v>5</v>
      </c>
      <c r="M89" s="21">
        <f ca="1">IFERROR(__xludf.DUMMYFUNCTION("""COMPUTED_VALUE"""),130)</f>
        <v>130</v>
      </c>
      <c r="N89" s="21">
        <f ca="1">IFERROR(__xludf.DUMMYFUNCTION("""COMPUTED_VALUE"""),0)</f>
        <v>0</v>
      </c>
      <c r="O89" s="22">
        <f ca="1">IFERROR(__xludf.DUMMYFUNCTION("""COMPUTED_VALUE"""),65)</f>
        <v>65</v>
      </c>
      <c r="P89" s="22">
        <f ca="1">IFERROR(__xludf.DUMMYFUNCTION("""COMPUTED_VALUE"""),0)</f>
        <v>0</v>
      </c>
      <c r="Q89" s="23">
        <f ca="1">IFERROR(__xludf.DUMMYFUNCTION("""COMPUTED_VALUE"""),535)</f>
        <v>535</v>
      </c>
      <c r="R89" s="23">
        <f ca="1">IFERROR(__xludf.DUMMYFUNCTION("""COMPUTED_VALUE"""),10)</f>
        <v>10</v>
      </c>
      <c r="S89" s="24" t="str">
        <f ca="1">IFERROR(__xludf.DUMMYFUNCTION("""COMPUTED_VALUE"""),"Synchronize")</f>
        <v>Synchronize</v>
      </c>
      <c r="T89" s="24" t="str">
        <f ca="1">IFERROR(__xludf.DUMMYFUNCTION("""COMPUTED_VALUE"""),"Adaptability")</f>
        <v>Adaptability</v>
      </c>
      <c r="U89" s="24" t="str">
        <f ca="1">IFERROR(__xludf.DUMMYFUNCTION("""COMPUTED_VALUE"""),"Inner Focus")</f>
        <v>Inner Focus</v>
      </c>
      <c r="V89" s="25" t="str">
        <f ca="1">IFERROR(__xludf.DUMMYFUNCTION("""COMPUTED_VALUE"""),"Moon Stone")</f>
        <v>Moon Stone</v>
      </c>
      <c r="W89" s="25"/>
      <c r="X89" s="25"/>
      <c r="Y89" s="25" t="str">
        <f ca="1">IFERROR(__xludf.DUMMYFUNCTION("""COMPUTED_VALUE"""),"Eevee (evolve)")</f>
        <v>Eevee (evolve)</v>
      </c>
    </row>
    <row r="90" spans="1:25" x14ac:dyDescent="0.25">
      <c r="A90" s="15" t="str">
        <f ca="1">IFERROR(__xludf.DUMMYFUNCTION("""COMPUTED_VALUE"""),"Leafeon")</f>
        <v>Leafeon</v>
      </c>
      <c r="B90" s="16">
        <f ca="1">IFERROR(__xludf.DUMMYFUNCTION("""COMPUTED_VALUE"""),89)</f>
        <v>89</v>
      </c>
      <c r="C90" s="3" t="str">
        <f ca="1">IFERROR(__xludf.DUMMYFUNCTION("""COMPUTED_VALUE"""),"Grass")</f>
        <v>Grass</v>
      </c>
      <c r="D90" s="3"/>
      <c r="E90" s="17">
        <f ca="1">IFERROR(__xludf.DUMMYFUNCTION("""COMPUTED_VALUE"""),70)</f>
        <v>70</v>
      </c>
      <c r="F90" s="17">
        <f ca="1">IFERROR(__xludf.DUMMYFUNCTION("""COMPUTED_VALUE"""),5)</f>
        <v>5</v>
      </c>
      <c r="G90" s="18">
        <f ca="1">IFERROR(__xludf.DUMMYFUNCTION("""COMPUTED_VALUE"""),110)</f>
        <v>110</v>
      </c>
      <c r="H90" s="18">
        <f ca="1">IFERROR(__xludf.DUMMYFUNCTION("""COMPUTED_VALUE"""),0)</f>
        <v>0</v>
      </c>
      <c r="I90" s="19">
        <f ca="1">IFERROR(__xludf.DUMMYFUNCTION("""COMPUTED_VALUE"""),130)</f>
        <v>130</v>
      </c>
      <c r="J90" s="19">
        <f ca="1">IFERROR(__xludf.DUMMYFUNCTION("""COMPUTED_VALUE"""),0)</f>
        <v>0</v>
      </c>
      <c r="K90" s="20">
        <f ca="1">IFERROR(__xludf.DUMMYFUNCTION("""COMPUTED_VALUE"""),60)</f>
        <v>60</v>
      </c>
      <c r="L90" s="20">
        <f ca="1">IFERROR(__xludf.DUMMYFUNCTION("""COMPUTED_VALUE"""),0)</f>
        <v>0</v>
      </c>
      <c r="M90" s="21">
        <f ca="1">IFERROR(__xludf.DUMMYFUNCTION("""COMPUTED_VALUE"""),70)</f>
        <v>70</v>
      </c>
      <c r="N90" s="21">
        <f ca="1">IFERROR(__xludf.DUMMYFUNCTION("""COMPUTED_VALUE"""),5)</f>
        <v>5</v>
      </c>
      <c r="O90" s="22">
        <f ca="1">IFERROR(__xludf.DUMMYFUNCTION("""COMPUTED_VALUE"""),95)</f>
        <v>95</v>
      </c>
      <c r="P90" s="22">
        <f ca="1">IFERROR(__xludf.DUMMYFUNCTION("""COMPUTED_VALUE"""),0)</f>
        <v>0</v>
      </c>
      <c r="Q90" s="23">
        <f ca="1">IFERROR(__xludf.DUMMYFUNCTION("""COMPUTED_VALUE"""),535)</f>
        <v>535</v>
      </c>
      <c r="R90" s="23">
        <f ca="1">IFERROR(__xludf.DUMMYFUNCTION("""COMPUTED_VALUE"""),10)</f>
        <v>10</v>
      </c>
      <c r="S90" s="24" t="str">
        <f ca="1">IFERROR(__xludf.DUMMYFUNCTION("""COMPUTED_VALUE"""),"Leaf Guard")</f>
        <v>Leaf Guard</v>
      </c>
      <c r="T90" s="24" t="str">
        <f ca="1">IFERROR(__xludf.DUMMYFUNCTION("""COMPUTED_VALUE"""),"Adaptability")</f>
        <v>Adaptability</v>
      </c>
      <c r="U90" s="24" t="str">
        <f ca="1">IFERROR(__xludf.DUMMYFUNCTION("""COMPUTED_VALUE"""),"Chlorophyll")</f>
        <v>Chlorophyll</v>
      </c>
      <c r="V90" s="25" t="str">
        <f ca="1">IFERROR(__xludf.DUMMYFUNCTION("""COMPUTED_VALUE"""),"Leaf Stone")</f>
        <v>Leaf Stone</v>
      </c>
      <c r="W90" s="25"/>
      <c r="X90" s="25"/>
      <c r="Y90" s="25" t="str">
        <f ca="1">IFERROR(__xludf.DUMMYFUNCTION("""COMPUTED_VALUE"""),"Eevee (evolve)")</f>
        <v>Eevee (evolve)</v>
      </c>
    </row>
    <row r="91" spans="1:25" x14ac:dyDescent="0.25">
      <c r="A91" s="15" t="str">
        <f ca="1">IFERROR(__xludf.DUMMYFUNCTION("""COMPUTED_VALUE"""),"Glaceon")</f>
        <v>Glaceon</v>
      </c>
      <c r="B91" s="16">
        <f ca="1">IFERROR(__xludf.DUMMYFUNCTION("""COMPUTED_VALUE"""),90)</f>
        <v>90</v>
      </c>
      <c r="C91" s="3" t="str">
        <f ca="1">IFERROR(__xludf.DUMMYFUNCTION("""COMPUTED_VALUE"""),"Ice")</f>
        <v>Ice</v>
      </c>
      <c r="D91" s="3"/>
      <c r="E91" s="17">
        <f ca="1">IFERROR(__xludf.DUMMYFUNCTION("""COMPUTED_VALUE"""),65)</f>
        <v>65</v>
      </c>
      <c r="F91" s="17">
        <f ca="1">IFERROR(__xludf.DUMMYFUNCTION("""COMPUTED_VALUE"""),0)</f>
        <v>0</v>
      </c>
      <c r="G91" s="18">
        <f ca="1">IFERROR(__xludf.DUMMYFUNCTION("""COMPUTED_VALUE"""),60)</f>
        <v>60</v>
      </c>
      <c r="H91" s="18">
        <f ca="1">IFERROR(__xludf.DUMMYFUNCTION("""COMPUTED_VALUE"""),0)</f>
        <v>0</v>
      </c>
      <c r="I91" s="19">
        <f ca="1">IFERROR(__xludf.DUMMYFUNCTION("""COMPUTED_VALUE"""),110)</f>
        <v>110</v>
      </c>
      <c r="J91" s="19">
        <f ca="1">IFERROR(__xludf.DUMMYFUNCTION("""COMPUTED_VALUE"""),0)</f>
        <v>0</v>
      </c>
      <c r="K91" s="20">
        <f ca="1">IFERROR(__xludf.DUMMYFUNCTION("""COMPUTED_VALUE"""),130)</f>
        <v>130</v>
      </c>
      <c r="L91" s="20">
        <f ca="1">IFERROR(__xludf.DUMMYFUNCTION("""COMPUTED_VALUE"""),0)</f>
        <v>0</v>
      </c>
      <c r="M91" s="21">
        <f ca="1">IFERROR(__xludf.DUMMYFUNCTION("""COMPUTED_VALUE"""),95)</f>
        <v>95</v>
      </c>
      <c r="N91" s="21">
        <f ca="1">IFERROR(__xludf.DUMMYFUNCTION("""COMPUTED_VALUE"""),0)</f>
        <v>0</v>
      </c>
      <c r="O91" s="22">
        <f ca="1">IFERROR(__xludf.DUMMYFUNCTION("""COMPUTED_VALUE"""),75)</f>
        <v>75</v>
      </c>
      <c r="P91" s="22">
        <f ca="1">IFERROR(__xludf.DUMMYFUNCTION("""COMPUTED_VALUE"""),10)</f>
        <v>10</v>
      </c>
      <c r="Q91" s="23">
        <f ca="1">IFERROR(__xludf.DUMMYFUNCTION("""COMPUTED_VALUE"""),535)</f>
        <v>535</v>
      </c>
      <c r="R91" s="23">
        <f ca="1">IFERROR(__xludf.DUMMYFUNCTION("""COMPUTED_VALUE"""),10)</f>
        <v>10</v>
      </c>
      <c r="S91" s="24" t="str">
        <f ca="1">IFERROR(__xludf.DUMMYFUNCTION("""COMPUTED_VALUE"""),"Snow Cloak")</f>
        <v>Snow Cloak</v>
      </c>
      <c r="T91" s="24" t="str">
        <f ca="1">IFERROR(__xludf.DUMMYFUNCTION("""COMPUTED_VALUE"""),"Adaptability")</f>
        <v>Adaptability</v>
      </c>
      <c r="U91" s="24" t="str">
        <f ca="1">IFERROR(__xludf.DUMMYFUNCTION("""COMPUTED_VALUE"""),"Ice Body")</f>
        <v>Ice Body</v>
      </c>
      <c r="V91" s="25" t="str">
        <f ca="1">IFERROR(__xludf.DUMMYFUNCTION("""COMPUTED_VALUE"""),"Ice Stone")</f>
        <v>Ice Stone</v>
      </c>
      <c r="W91" s="25"/>
      <c r="X91" s="25"/>
      <c r="Y91" s="25" t="str">
        <f ca="1">IFERROR(__xludf.DUMMYFUNCTION("""COMPUTED_VALUE"""),"Eevee (evolve)")</f>
        <v>Eevee (evolve)</v>
      </c>
    </row>
    <row r="92" spans="1:25" x14ac:dyDescent="0.25">
      <c r="A92" s="15" t="str">
        <f ca="1">IFERROR(__xludf.DUMMYFUNCTION("""COMPUTED_VALUE"""),"Sylveon")</f>
        <v>Sylveon</v>
      </c>
      <c r="B92" s="16">
        <f ca="1">IFERROR(__xludf.DUMMYFUNCTION("""COMPUTED_VALUE"""),91)</f>
        <v>91</v>
      </c>
      <c r="C92" s="3" t="str">
        <f ca="1">IFERROR(__xludf.DUMMYFUNCTION("""COMPUTED_VALUE"""),"Fairy")</f>
        <v>Fairy</v>
      </c>
      <c r="D92" s="3"/>
      <c r="E92" s="17">
        <f ca="1">IFERROR(__xludf.DUMMYFUNCTION("""COMPUTED_VALUE"""),105)</f>
        <v>105</v>
      </c>
      <c r="F92" s="17">
        <f ca="1">IFERROR(__xludf.DUMMYFUNCTION("""COMPUTED_VALUE"""),10)</f>
        <v>10</v>
      </c>
      <c r="G92" s="18">
        <f ca="1">IFERROR(__xludf.DUMMYFUNCTION("""COMPUTED_VALUE"""),65)</f>
        <v>65</v>
      </c>
      <c r="H92" s="18">
        <f ca="1">IFERROR(__xludf.DUMMYFUNCTION("""COMPUTED_VALUE"""),0)</f>
        <v>0</v>
      </c>
      <c r="I92" s="19">
        <f ca="1">IFERROR(__xludf.DUMMYFUNCTION("""COMPUTED_VALUE"""),65)</f>
        <v>65</v>
      </c>
      <c r="J92" s="19">
        <f ca="1">IFERROR(__xludf.DUMMYFUNCTION("""COMPUTED_VALUE"""),0)</f>
        <v>0</v>
      </c>
      <c r="K92" s="20">
        <f ca="1">IFERROR(__xludf.DUMMYFUNCTION("""COMPUTED_VALUE"""),110)</f>
        <v>110</v>
      </c>
      <c r="L92" s="20">
        <f ca="1">IFERROR(__xludf.DUMMYFUNCTION("""COMPUTED_VALUE"""),0)</f>
        <v>0</v>
      </c>
      <c r="M92" s="21">
        <f ca="1">IFERROR(__xludf.DUMMYFUNCTION("""COMPUTED_VALUE"""),130)</f>
        <v>130</v>
      </c>
      <c r="N92" s="21">
        <f ca="1">IFERROR(__xludf.DUMMYFUNCTION("""COMPUTED_VALUE"""),0)</f>
        <v>0</v>
      </c>
      <c r="O92" s="22">
        <f ca="1">IFERROR(__xludf.DUMMYFUNCTION("""COMPUTED_VALUE"""),60)</f>
        <v>60</v>
      </c>
      <c r="P92" s="22">
        <f ca="1">IFERROR(__xludf.DUMMYFUNCTION("""COMPUTED_VALUE"""),0)</f>
        <v>0</v>
      </c>
      <c r="Q92" s="23">
        <f ca="1">IFERROR(__xludf.DUMMYFUNCTION("""COMPUTED_VALUE"""),535)</f>
        <v>535</v>
      </c>
      <c r="R92" s="23">
        <f ca="1">IFERROR(__xludf.DUMMYFUNCTION("""COMPUTED_VALUE"""),10)</f>
        <v>10</v>
      </c>
      <c r="S92" s="24" t="str">
        <f ca="1">IFERROR(__xludf.DUMMYFUNCTION("""COMPUTED_VALUE"""),"Cute Charm")</f>
        <v>Cute Charm</v>
      </c>
      <c r="T92" s="24" t="str">
        <f ca="1">IFERROR(__xludf.DUMMYFUNCTION("""COMPUTED_VALUE"""),"Adaptability")</f>
        <v>Adaptability</v>
      </c>
      <c r="U92" s="24" t="str">
        <f ca="1">IFERROR(__xludf.DUMMYFUNCTION("""COMPUTED_VALUE"""),"Pixilate")</f>
        <v>Pixilate</v>
      </c>
      <c r="V92" s="25" t="str">
        <f ca="1">IFERROR(__xludf.DUMMYFUNCTION("""COMPUTED_VALUE"""),"Shiny Stone")</f>
        <v>Shiny Stone</v>
      </c>
      <c r="W92" s="25"/>
      <c r="X92" s="25"/>
      <c r="Y92" s="25" t="str">
        <f ca="1">IFERROR(__xludf.DUMMYFUNCTION("""COMPUTED_VALUE"""),"Eevee (evolve)")</f>
        <v>Eevee (evolve)</v>
      </c>
    </row>
    <row r="93" spans="1:25" x14ac:dyDescent="0.25">
      <c r="A93" s="15" t="str">
        <f ca="1">IFERROR(__xludf.DUMMYFUNCTION("""COMPUTED_VALUE"""),"Skiddo")</f>
        <v>Skiddo</v>
      </c>
      <c r="B93" s="16">
        <f ca="1">IFERROR(__xludf.DUMMYFUNCTION("""COMPUTED_VALUE"""),92)</f>
        <v>92</v>
      </c>
      <c r="C93" s="3" t="str">
        <f ca="1">IFERROR(__xludf.DUMMYFUNCTION("""COMPUTED_VALUE"""),"Grass")</f>
        <v>Grass</v>
      </c>
      <c r="D93" s="3"/>
      <c r="E93" s="17">
        <f ca="1">IFERROR(__xludf.DUMMYFUNCTION("""COMPUTED_VALUE"""),76)</f>
        <v>76</v>
      </c>
      <c r="F93" s="17">
        <f ca="1">IFERROR(__xludf.DUMMYFUNCTION("""COMPUTED_VALUE"""),10)</f>
        <v>10</v>
      </c>
      <c r="G93" s="18">
        <f ca="1">IFERROR(__xludf.DUMMYFUNCTION("""COMPUTED_VALUE"""),65)</f>
        <v>65</v>
      </c>
      <c r="H93" s="18">
        <f ca="1">IFERROR(__xludf.DUMMYFUNCTION("""COMPUTED_VALUE"""),0)</f>
        <v>0</v>
      </c>
      <c r="I93" s="19">
        <f ca="1">IFERROR(__xludf.DUMMYFUNCTION("""COMPUTED_VALUE"""),53)</f>
        <v>53</v>
      </c>
      <c r="J93" s="19">
        <f ca="1">IFERROR(__xludf.DUMMYFUNCTION("""COMPUTED_VALUE"""),5)</f>
        <v>5</v>
      </c>
      <c r="K93" s="20">
        <f ca="1">IFERROR(__xludf.DUMMYFUNCTION("""COMPUTED_VALUE"""),62)</f>
        <v>62</v>
      </c>
      <c r="L93" s="20">
        <f ca="1">IFERROR(__xludf.DUMMYFUNCTION("""COMPUTED_VALUE"""),0)</f>
        <v>0</v>
      </c>
      <c r="M93" s="21">
        <f ca="1">IFERROR(__xludf.DUMMYFUNCTION("""COMPUTED_VALUE"""),57)</f>
        <v>57</v>
      </c>
      <c r="N93" s="21">
        <f ca="1">IFERROR(__xludf.DUMMYFUNCTION("""COMPUTED_VALUE"""),0)</f>
        <v>0</v>
      </c>
      <c r="O93" s="22">
        <f ca="1">IFERROR(__xludf.DUMMYFUNCTION("""COMPUTED_VALUE"""),52)</f>
        <v>52</v>
      </c>
      <c r="P93" s="22">
        <f ca="1">IFERROR(__xludf.DUMMYFUNCTION("""COMPUTED_VALUE"""),0)</f>
        <v>0</v>
      </c>
      <c r="Q93" s="23">
        <f ca="1">IFERROR(__xludf.DUMMYFUNCTION("""COMPUTED_VALUE"""),365)</f>
        <v>365</v>
      </c>
      <c r="R93" s="23">
        <f ca="1">IFERROR(__xludf.DUMMYFUNCTION("""COMPUTED_VALUE"""),15)</f>
        <v>15</v>
      </c>
      <c r="S93" s="24" t="str">
        <f ca="1">IFERROR(__xludf.DUMMYFUNCTION("""COMPUTED_VALUE"""),"Sap Sipper")</f>
        <v>Sap Sipper</v>
      </c>
      <c r="T93" s="24" t="str">
        <f ca="1">IFERROR(__xludf.DUMMYFUNCTION("""COMPUTED_VALUE"""),"Grass Pelt")</f>
        <v>Grass Pelt</v>
      </c>
      <c r="U93" s="24" t="str">
        <f ca="1">IFERROR(__xludf.DUMMYFUNCTION("""COMPUTED_VALUE"""),"Seed Sower")</f>
        <v>Seed Sower</v>
      </c>
      <c r="V93" s="25"/>
      <c r="W93" s="25"/>
      <c r="X93" s="25"/>
      <c r="Y93" s="25" t="str">
        <f ca="1">IFERROR(__xludf.DUMMYFUNCTION("""COMPUTED_VALUE"""),"Jusmail Town, Acrisia Mountains Peak (wild)")</f>
        <v>Jusmail Town, Acrisia Mountains Peak (wild)</v>
      </c>
    </row>
    <row r="94" spans="1:25" x14ac:dyDescent="0.25">
      <c r="A94" s="15" t="str">
        <f ca="1">IFERROR(__xludf.DUMMYFUNCTION("""COMPUTED_VALUE"""),"Gogoat")</f>
        <v>Gogoat</v>
      </c>
      <c r="B94" s="16">
        <f ca="1">IFERROR(__xludf.DUMMYFUNCTION("""COMPUTED_VALUE"""),93)</f>
        <v>93</v>
      </c>
      <c r="C94" s="3" t="str">
        <f ca="1">IFERROR(__xludf.DUMMYFUNCTION("""COMPUTED_VALUE"""),"Grass")</f>
        <v>Grass</v>
      </c>
      <c r="D94" s="3" t="str">
        <f ca="1">IFERROR(__xludf.DUMMYFUNCTION("""COMPUTED_VALUE"""),"Ground")</f>
        <v>Ground</v>
      </c>
      <c r="E94" s="17">
        <f ca="1">IFERROR(__xludf.DUMMYFUNCTION("""COMPUTED_VALUE"""),133)</f>
        <v>133</v>
      </c>
      <c r="F94" s="17">
        <f ca="1">IFERROR(__xludf.DUMMYFUNCTION("""COMPUTED_VALUE"""),10)</f>
        <v>10</v>
      </c>
      <c r="G94" s="18">
        <f ca="1">IFERROR(__xludf.DUMMYFUNCTION("""COMPUTED_VALUE"""),104)</f>
        <v>104</v>
      </c>
      <c r="H94" s="18">
        <f ca="1">IFERROR(__xludf.DUMMYFUNCTION("""COMPUTED_VALUE"""),4)</f>
        <v>4</v>
      </c>
      <c r="I94" s="19">
        <f ca="1">IFERROR(__xludf.DUMMYFUNCTION("""COMPUTED_VALUE"""),67)</f>
        <v>67</v>
      </c>
      <c r="J94" s="19">
        <f ca="1">IFERROR(__xludf.DUMMYFUNCTION("""COMPUTED_VALUE"""),5)</f>
        <v>5</v>
      </c>
      <c r="K94" s="20">
        <f ca="1">IFERROR(__xludf.DUMMYFUNCTION("""COMPUTED_VALUE"""),97)</f>
        <v>97</v>
      </c>
      <c r="L94" s="20">
        <f ca="1">IFERROR(__xludf.DUMMYFUNCTION("""COMPUTED_VALUE"""),0)</f>
        <v>0</v>
      </c>
      <c r="M94" s="21">
        <f ca="1">IFERROR(__xludf.DUMMYFUNCTION("""COMPUTED_VALUE"""),81)</f>
        <v>81</v>
      </c>
      <c r="N94" s="21">
        <f ca="1">IFERROR(__xludf.DUMMYFUNCTION("""COMPUTED_VALUE"""),0)</f>
        <v>0</v>
      </c>
      <c r="O94" s="22">
        <f ca="1">IFERROR(__xludf.DUMMYFUNCTION("""COMPUTED_VALUE"""),64)</f>
        <v>64</v>
      </c>
      <c r="P94" s="22">
        <f ca="1">IFERROR(__xludf.DUMMYFUNCTION("""COMPUTED_VALUE"""),-4)</f>
        <v>-4</v>
      </c>
      <c r="Q94" s="23">
        <f ca="1">IFERROR(__xludf.DUMMYFUNCTION("""COMPUTED_VALUE"""),546)</f>
        <v>546</v>
      </c>
      <c r="R94" s="23">
        <f ca="1">IFERROR(__xludf.DUMMYFUNCTION("""COMPUTED_VALUE"""),15)</f>
        <v>15</v>
      </c>
      <c r="S94" s="24" t="str">
        <f ca="1">IFERROR(__xludf.DUMMYFUNCTION("""COMPUTED_VALUE"""),"Sap Sipper")</f>
        <v>Sap Sipper</v>
      </c>
      <c r="T94" s="24" t="str">
        <f ca="1">IFERROR(__xludf.DUMMYFUNCTION("""COMPUTED_VALUE"""),"Grass Pelt")</f>
        <v>Grass Pelt</v>
      </c>
      <c r="U94" s="24" t="str">
        <f ca="1">IFERROR(__xludf.DUMMYFUNCTION("""COMPUTED_VALUE"""),"Seed Sower")</f>
        <v>Seed Sower</v>
      </c>
      <c r="V94" s="25" t="str">
        <f ca="1">IFERROR(__xludf.DUMMYFUNCTION("""COMPUTED_VALUE"""),"Lv. 30")</f>
        <v>Lv. 30</v>
      </c>
      <c r="W94" s="25"/>
      <c r="X94" s="25"/>
      <c r="Y94" s="25" t="str">
        <f ca="1">IFERROR(__xludf.DUMMYFUNCTION("""COMPUTED_VALUE"""),"The Nyx Trails (wild)")</f>
        <v>The Nyx Trails (wild)</v>
      </c>
    </row>
    <row r="95" spans="1:25" x14ac:dyDescent="0.25">
      <c r="A95" s="15" t="str">
        <f ca="1">IFERROR(__xludf.DUMMYFUNCTION("""COMPUTED_VALUE"""),"Murkrow")</f>
        <v>Murkrow</v>
      </c>
      <c r="B95" s="16">
        <f ca="1">IFERROR(__xludf.DUMMYFUNCTION("""COMPUTED_VALUE"""),94)</f>
        <v>94</v>
      </c>
      <c r="C95" s="3" t="str">
        <f ca="1">IFERROR(__xludf.DUMMYFUNCTION("""COMPUTED_VALUE"""),"Dark")</f>
        <v>Dark</v>
      </c>
      <c r="D95" s="3" t="str">
        <f ca="1">IFERROR(__xludf.DUMMYFUNCTION("""COMPUTED_VALUE"""),"Flying")</f>
        <v>Flying</v>
      </c>
      <c r="E95" s="17">
        <f ca="1">IFERROR(__xludf.DUMMYFUNCTION("""COMPUTED_VALUE"""),65)</f>
        <v>65</v>
      </c>
      <c r="F95" s="17">
        <f ca="1">IFERROR(__xludf.DUMMYFUNCTION("""COMPUTED_VALUE"""),5)</f>
        <v>5</v>
      </c>
      <c r="G95" s="18">
        <f ca="1">IFERROR(__xludf.DUMMYFUNCTION("""COMPUTED_VALUE"""),85)</f>
        <v>85</v>
      </c>
      <c r="H95" s="18">
        <f ca="1">IFERROR(__xludf.DUMMYFUNCTION("""COMPUTED_VALUE"""),0)</f>
        <v>0</v>
      </c>
      <c r="I95" s="19">
        <f ca="1">IFERROR(__xludf.DUMMYFUNCTION("""COMPUTED_VALUE"""),42)</f>
        <v>42</v>
      </c>
      <c r="J95" s="19">
        <f ca="1">IFERROR(__xludf.DUMMYFUNCTION("""COMPUTED_VALUE"""),0)</f>
        <v>0</v>
      </c>
      <c r="K95" s="20">
        <f ca="1">IFERROR(__xludf.DUMMYFUNCTION("""COMPUTED_VALUE"""),85)</f>
        <v>85</v>
      </c>
      <c r="L95" s="20">
        <f ca="1">IFERROR(__xludf.DUMMYFUNCTION("""COMPUTED_VALUE"""),0)</f>
        <v>0</v>
      </c>
      <c r="M95" s="21">
        <f ca="1">IFERROR(__xludf.DUMMYFUNCTION("""COMPUTED_VALUE"""),42)</f>
        <v>42</v>
      </c>
      <c r="N95" s="21">
        <f ca="1">IFERROR(__xludf.DUMMYFUNCTION("""COMPUTED_VALUE"""),0)</f>
        <v>0</v>
      </c>
      <c r="O95" s="22">
        <f ca="1">IFERROR(__xludf.DUMMYFUNCTION("""COMPUTED_VALUE"""),91)</f>
        <v>91</v>
      </c>
      <c r="P95" s="22">
        <f ca="1">IFERROR(__xludf.DUMMYFUNCTION("""COMPUTED_VALUE"""),0)</f>
        <v>0</v>
      </c>
      <c r="Q95" s="23">
        <f ca="1">IFERROR(__xludf.DUMMYFUNCTION("""COMPUTED_VALUE"""),410)</f>
        <v>410</v>
      </c>
      <c r="R95" s="23">
        <f ca="1">IFERROR(__xludf.DUMMYFUNCTION("""COMPUTED_VALUE"""),5)</f>
        <v>5</v>
      </c>
      <c r="S95" s="24" t="str">
        <f ca="1">IFERROR(__xludf.DUMMYFUNCTION("""COMPUTED_VALUE"""),"Insomnia")</f>
        <v>Insomnia</v>
      </c>
      <c r="T95" s="24" t="str">
        <f ca="1">IFERROR(__xludf.DUMMYFUNCTION("""COMPUTED_VALUE"""),"Super Luck")</f>
        <v>Super Luck</v>
      </c>
      <c r="U95" s="24" t="str">
        <f ca="1">IFERROR(__xludf.DUMMYFUNCTION("""COMPUTED_VALUE"""),"Prankster")</f>
        <v>Prankster</v>
      </c>
      <c r="V95" s="25"/>
      <c r="W95" s="25"/>
      <c r="X95" s="25"/>
      <c r="Y95" s="25" t="str">
        <f ca="1">IFERROR(__xludf.DUMMYFUNCTION("""COMPUTED_VALUE"""),"Bronze Fields N, Bronze Fields S, Kalami City (wild)")</f>
        <v>Bronze Fields N, Bronze Fields S, Kalami City (wild)</v>
      </c>
    </row>
    <row r="96" spans="1:25" x14ac:dyDescent="0.25">
      <c r="A96" s="15" t="str">
        <f ca="1">IFERROR(__xludf.DUMMYFUNCTION("""COMPUTED_VALUE"""),"Honchkrow")</f>
        <v>Honchkrow</v>
      </c>
      <c r="B96" s="16">
        <f ca="1">IFERROR(__xludf.DUMMYFUNCTION("""COMPUTED_VALUE"""),95)</f>
        <v>95</v>
      </c>
      <c r="C96" s="3" t="str">
        <f ca="1">IFERROR(__xludf.DUMMYFUNCTION("""COMPUTED_VALUE"""),"Dark")</f>
        <v>Dark</v>
      </c>
      <c r="D96" s="3" t="str">
        <f ca="1">IFERROR(__xludf.DUMMYFUNCTION("""COMPUTED_VALUE"""),"Flying")</f>
        <v>Flying</v>
      </c>
      <c r="E96" s="17">
        <f ca="1">IFERROR(__xludf.DUMMYFUNCTION("""COMPUTED_VALUE"""),100)</f>
        <v>100</v>
      </c>
      <c r="F96" s="17">
        <f ca="1">IFERROR(__xludf.DUMMYFUNCTION("""COMPUTED_VALUE"""),0)</f>
        <v>0</v>
      </c>
      <c r="G96" s="18">
        <f ca="1">IFERROR(__xludf.DUMMYFUNCTION("""COMPUTED_VALUE"""),125)</f>
        <v>125</v>
      </c>
      <c r="H96" s="18">
        <f ca="1">IFERROR(__xludf.DUMMYFUNCTION("""COMPUTED_VALUE"""),0)</f>
        <v>0</v>
      </c>
      <c r="I96" s="19">
        <f ca="1">IFERROR(__xludf.DUMMYFUNCTION("""COMPUTED_VALUE"""),52)</f>
        <v>52</v>
      </c>
      <c r="J96" s="19">
        <f ca="1">IFERROR(__xludf.DUMMYFUNCTION("""COMPUTED_VALUE"""),0)</f>
        <v>0</v>
      </c>
      <c r="K96" s="20">
        <f ca="1">IFERROR(__xludf.DUMMYFUNCTION("""COMPUTED_VALUE"""),105)</f>
        <v>105</v>
      </c>
      <c r="L96" s="20">
        <f ca="1">IFERROR(__xludf.DUMMYFUNCTION("""COMPUTED_VALUE"""),0)</f>
        <v>0</v>
      </c>
      <c r="M96" s="21">
        <f ca="1">IFERROR(__xludf.DUMMYFUNCTION("""COMPUTED_VALUE"""),52)</f>
        <v>52</v>
      </c>
      <c r="N96" s="21">
        <f ca="1">IFERROR(__xludf.DUMMYFUNCTION("""COMPUTED_VALUE"""),0)</f>
        <v>0</v>
      </c>
      <c r="O96" s="22">
        <f ca="1">IFERROR(__xludf.DUMMYFUNCTION("""COMPUTED_VALUE"""),71)</f>
        <v>71</v>
      </c>
      <c r="P96" s="22">
        <f ca="1">IFERROR(__xludf.DUMMYFUNCTION("""COMPUTED_VALUE"""),0)</f>
        <v>0</v>
      </c>
      <c r="Q96" s="23">
        <f ca="1">IFERROR(__xludf.DUMMYFUNCTION("""COMPUTED_VALUE"""),505)</f>
        <v>505</v>
      </c>
      <c r="R96" s="23">
        <f ca="1">IFERROR(__xludf.DUMMYFUNCTION("""COMPUTED_VALUE"""),0)</f>
        <v>0</v>
      </c>
      <c r="S96" s="24" t="str">
        <f ca="1">IFERROR(__xludf.DUMMYFUNCTION("""COMPUTED_VALUE"""),"Moxie")</f>
        <v>Moxie</v>
      </c>
      <c r="T96" s="24" t="str">
        <f ca="1">IFERROR(__xludf.DUMMYFUNCTION("""COMPUTED_VALUE"""),"Super Luck")</f>
        <v>Super Luck</v>
      </c>
      <c r="U96" s="24" t="str">
        <f ca="1">IFERROR(__xludf.DUMMYFUNCTION("""COMPUTED_VALUE"""),"Prankster")</f>
        <v>Prankster</v>
      </c>
      <c r="V96" s="25" t="str">
        <f ca="1">IFERROR(__xludf.DUMMYFUNCTION("""COMPUTED_VALUE"""),"Dusk Stone")</f>
        <v>Dusk Stone</v>
      </c>
      <c r="W96" s="25"/>
      <c r="X96" s="25"/>
      <c r="Y96" s="25" t="str">
        <f ca="1">IFERROR(__xludf.DUMMYFUNCTION("""COMPUTED_VALUE"""),"Murkrow (evolve)")</f>
        <v>Murkrow (evolve)</v>
      </c>
    </row>
    <row r="97" spans="1:25" x14ac:dyDescent="0.25">
      <c r="A97" s="15" t="str">
        <f ca="1">IFERROR(__xludf.DUMMYFUNCTION("""COMPUTED_VALUE"""),"Oricorio Baile")</f>
        <v>Oricorio Baile</v>
      </c>
      <c r="B97" s="16">
        <f ca="1">IFERROR(__xludf.DUMMYFUNCTION("""COMPUTED_VALUE"""),96)</f>
        <v>96</v>
      </c>
      <c r="C97" s="3" t="str">
        <f ca="1">IFERROR(__xludf.DUMMYFUNCTION("""COMPUTED_VALUE"""),"Fire")</f>
        <v>Fire</v>
      </c>
      <c r="D97" s="3" t="str">
        <f ca="1">IFERROR(__xludf.DUMMYFUNCTION("""COMPUTED_VALUE"""),"Flying")</f>
        <v>Flying</v>
      </c>
      <c r="E97" s="17">
        <f ca="1">IFERROR(__xludf.DUMMYFUNCTION("""COMPUTED_VALUE"""),76)</f>
        <v>76</v>
      </c>
      <c r="F97" s="17">
        <f ca="1">IFERROR(__xludf.DUMMYFUNCTION("""COMPUTED_VALUE"""),1)</f>
        <v>1</v>
      </c>
      <c r="G97" s="18">
        <f ca="1">IFERROR(__xludf.DUMMYFUNCTION("""COMPUTED_VALUE"""),70)</f>
        <v>70</v>
      </c>
      <c r="H97" s="18">
        <f ca="1">IFERROR(__xludf.DUMMYFUNCTION("""COMPUTED_VALUE"""),0)</f>
        <v>0</v>
      </c>
      <c r="I97" s="19">
        <f ca="1">IFERROR(__xludf.DUMMYFUNCTION("""COMPUTED_VALUE"""),70)</f>
        <v>70</v>
      </c>
      <c r="J97" s="19">
        <f ca="1">IFERROR(__xludf.DUMMYFUNCTION("""COMPUTED_VALUE"""),0)</f>
        <v>0</v>
      </c>
      <c r="K97" s="20">
        <f ca="1">IFERROR(__xludf.DUMMYFUNCTION("""COMPUTED_VALUE"""),103)</f>
        <v>103</v>
      </c>
      <c r="L97" s="20">
        <f ca="1">IFERROR(__xludf.DUMMYFUNCTION("""COMPUTED_VALUE"""),5)</f>
        <v>5</v>
      </c>
      <c r="M97" s="21">
        <f ca="1">IFERROR(__xludf.DUMMYFUNCTION("""COMPUTED_VALUE"""),75)</f>
        <v>75</v>
      </c>
      <c r="N97" s="21">
        <f ca="1">IFERROR(__xludf.DUMMYFUNCTION("""COMPUTED_VALUE"""),5)</f>
        <v>5</v>
      </c>
      <c r="O97" s="22">
        <f ca="1">IFERROR(__xludf.DUMMYFUNCTION("""COMPUTED_VALUE"""),106)</f>
        <v>106</v>
      </c>
      <c r="P97" s="22">
        <f ca="1">IFERROR(__xludf.DUMMYFUNCTION("""COMPUTED_VALUE"""),13)</f>
        <v>13</v>
      </c>
      <c r="Q97" s="23">
        <f ca="1">IFERROR(__xludf.DUMMYFUNCTION("""COMPUTED_VALUE"""),500)</f>
        <v>500</v>
      </c>
      <c r="R97" s="23">
        <f ca="1">IFERROR(__xludf.DUMMYFUNCTION("""COMPUTED_VALUE"""),24)</f>
        <v>24</v>
      </c>
      <c r="S97" s="24" t="str">
        <f ca="1">IFERROR(__xludf.DUMMYFUNCTION("""COMPUTED_VALUE"""),"Dancer")</f>
        <v>Dancer</v>
      </c>
      <c r="T97" s="25"/>
      <c r="U97" s="25"/>
      <c r="V97" s="25"/>
      <c r="W97" s="25"/>
      <c r="X97" s="25" t="str">
        <f ca="1">IFERROR(__xludf.DUMMYFUNCTION("""COMPUTED_VALUE"""),"Red Nectar")</f>
        <v>Red Nectar</v>
      </c>
      <c r="Y97" s="25" t="str">
        <f ca="1">IFERROR(__xludf.DUMMYFUNCTION("""COMPUTED_VALUE"""),"Jusmail Town, Myrrini Island (wild)")</f>
        <v>Jusmail Town, Myrrini Island (wild)</v>
      </c>
    </row>
    <row r="98" spans="1:25" x14ac:dyDescent="0.25">
      <c r="A98" s="15" t="str">
        <f ca="1">IFERROR(__xludf.DUMMYFUNCTION("""COMPUTED_VALUE"""),"Sandshrew")</f>
        <v>Sandshrew</v>
      </c>
      <c r="B98" s="16">
        <f ca="1">IFERROR(__xludf.DUMMYFUNCTION("""COMPUTED_VALUE"""),97)</f>
        <v>97</v>
      </c>
      <c r="C98" s="3" t="str">
        <f ca="1">IFERROR(__xludf.DUMMYFUNCTION("""COMPUTED_VALUE"""),"Ground")</f>
        <v>Ground</v>
      </c>
      <c r="D98" s="3"/>
      <c r="E98" s="17">
        <f ca="1">IFERROR(__xludf.DUMMYFUNCTION("""COMPUTED_VALUE"""),50)</f>
        <v>50</v>
      </c>
      <c r="F98" s="17">
        <f ca="1">IFERROR(__xludf.DUMMYFUNCTION("""COMPUTED_VALUE"""),0)</f>
        <v>0</v>
      </c>
      <c r="G98" s="18">
        <f ca="1">IFERROR(__xludf.DUMMYFUNCTION("""COMPUTED_VALUE"""),75)</f>
        <v>75</v>
      </c>
      <c r="H98" s="18">
        <f ca="1">IFERROR(__xludf.DUMMYFUNCTION("""COMPUTED_VALUE"""),0)</f>
        <v>0</v>
      </c>
      <c r="I98" s="19">
        <f ca="1">IFERROR(__xludf.DUMMYFUNCTION("""COMPUTED_VALUE"""),85)</f>
        <v>85</v>
      </c>
      <c r="J98" s="19">
        <f ca="1">IFERROR(__xludf.DUMMYFUNCTION("""COMPUTED_VALUE"""),0)</f>
        <v>0</v>
      </c>
      <c r="K98" s="20">
        <f ca="1">IFERROR(__xludf.DUMMYFUNCTION("""COMPUTED_VALUE"""),20)</f>
        <v>20</v>
      </c>
      <c r="L98" s="20">
        <f ca="1">IFERROR(__xludf.DUMMYFUNCTION("""COMPUTED_VALUE"""),0)</f>
        <v>0</v>
      </c>
      <c r="M98" s="21">
        <f ca="1">IFERROR(__xludf.DUMMYFUNCTION("""COMPUTED_VALUE"""),30)</f>
        <v>30</v>
      </c>
      <c r="N98" s="21">
        <f ca="1">IFERROR(__xludf.DUMMYFUNCTION("""COMPUTED_VALUE"""),0)</f>
        <v>0</v>
      </c>
      <c r="O98" s="22">
        <f ca="1">IFERROR(__xludf.DUMMYFUNCTION("""COMPUTED_VALUE"""),40)</f>
        <v>40</v>
      </c>
      <c r="P98" s="22">
        <f ca="1">IFERROR(__xludf.DUMMYFUNCTION("""COMPUTED_VALUE"""),0)</f>
        <v>0</v>
      </c>
      <c r="Q98" s="23">
        <f ca="1">IFERROR(__xludf.DUMMYFUNCTION("""COMPUTED_VALUE"""),300)</f>
        <v>300</v>
      </c>
      <c r="R98" s="23">
        <f ca="1">IFERROR(__xludf.DUMMYFUNCTION("""COMPUTED_VALUE"""),0)</f>
        <v>0</v>
      </c>
      <c r="S98" s="24" t="str">
        <f ca="1">IFERROR(__xludf.DUMMYFUNCTION("""COMPUTED_VALUE"""),"Sand Veil")</f>
        <v>Sand Veil</v>
      </c>
      <c r="T98" s="24" t="str">
        <f ca="1">IFERROR(__xludf.DUMMYFUNCTION("""COMPUTED_VALUE"""),"Sand Rush")</f>
        <v>Sand Rush</v>
      </c>
      <c r="U98" s="24" t="str">
        <f ca="1">IFERROR(__xludf.DUMMYFUNCTION("""COMPUTED_VALUE"""),"Earth Eater")</f>
        <v>Earth Eater</v>
      </c>
      <c r="V98" s="25"/>
      <c r="W98" s="25" t="str">
        <f ca="1">IFERROR(__xludf.DUMMYFUNCTION("""COMPUTED_VALUE"""),"Yellow Shard?")</f>
        <v>Yellow Shard?</v>
      </c>
      <c r="X98" s="25" t="str">
        <f ca="1">IFERROR(__xludf.DUMMYFUNCTION("""COMPUTED_VALUE"""),"Grip Claw")</f>
        <v>Grip Claw</v>
      </c>
      <c r="Y98" s="25" t="str">
        <f ca="1">IFERROR(__xludf.DUMMYFUNCTION("""COMPUTED_VALUE"""),"Acrisia City, Acrisia Mountains (wild)")</f>
        <v>Acrisia City, Acrisia Mountains (wild)</v>
      </c>
    </row>
    <row r="99" spans="1:25" x14ac:dyDescent="0.25">
      <c r="A99" s="15" t="str">
        <f ca="1">IFERROR(__xludf.DUMMYFUNCTION("""COMPUTED_VALUE"""),"Sandslash")</f>
        <v>Sandslash</v>
      </c>
      <c r="B99" s="16">
        <f ca="1">IFERROR(__xludf.DUMMYFUNCTION("""COMPUTED_VALUE"""),98)</f>
        <v>98</v>
      </c>
      <c r="C99" s="3" t="str">
        <f ca="1">IFERROR(__xludf.DUMMYFUNCTION("""COMPUTED_VALUE"""),"Ground")</f>
        <v>Ground</v>
      </c>
      <c r="D99" s="3"/>
      <c r="E99" s="17">
        <f ca="1">IFERROR(__xludf.DUMMYFUNCTION("""COMPUTED_VALUE"""),85)</f>
        <v>85</v>
      </c>
      <c r="F99" s="17">
        <f ca="1">IFERROR(__xludf.DUMMYFUNCTION("""COMPUTED_VALUE"""),10)</f>
        <v>10</v>
      </c>
      <c r="G99" s="18">
        <f ca="1">IFERROR(__xludf.DUMMYFUNCTION("""COMPUTED_VALUE"""),100)</f>
        <v>100</v>
      </c>
      <c r="H99" s="18">
        <f ca="1">IFERROR(__xludf.DUMMYFUNCTION("""COMPUTED_VALUE"""),0)</f>
        <v>0</v>
      </c>
      <c r="I99" s="19">
        <f ca="1">IFERROR(__xludf.DUMMYFUNCTION("""COMPUTED_VALUE"""),110)</f>
        <v>110</v>
      </c>
      <c r="J99" s="19">
        <f ca="1">IFERROR(__xludf.DUMMYFUNCTION("""COMPUTED_VALUE"""),0)</f>
        <v>0</v>
      </c>
      <c r="K99" s="20">
        <f ca="1">IFERROR(__xludf.DUMMYFUNCTION("""COMPUTED_VALUE"""),45)</f>
        <v>45</v>
      </c>
      <c r="L99" s="20">
        <f ca="1">IFERROR(__xludf.DUMMYFUNCTION("""COMPUTED_VALUE"""),0)</f>
        <v>0</v>
      </c>
      <c r="M99" s="21">
        <f ca="1">IFERROR(__xludf.DUMMYFUNCTION("""COMPUTED_VALUE"""),55)</f>
        <v>55</v>
      </c>
      <c r="N99" s="21">
        <f ca="1">IFERROR(__xludf.DUMMYFUNCTION("""COMPUTED_VALUE"""),0)</f>
        <v>0</v>
      </c>
      <c r="O99" s="22">
        <f ca="1">IFERROR(__xludf.DUMMYFUNCTION("""COMPUTED_VALUE"""),65)</f>
        <v>65</v>
      </c>
      <c r="P99" s="22">
        <f ca="1">IFERROR(__xludf.DUMMYFUNCTION("""COMPUTED_VALUE"""),0)</f>
        <v>0</v>
      </c>
      <c r="Q99" s="23">
        <f ca="1">IFERROR(__xludf.DUMMYFUNCTION("""COMPUTED_VALUE"""),460)</f>
        <v>460</v>
      </c>
      <c r="R99" s="23">
        <f ca="1">IFERROR(__xludf.DUMMYFUNCTION("""COMPUTED_VALUE"""),10)</f>
        <v>10</v>
      </c>
      <c r="S99" s="24" t="str">
        <f ca="1">IFERROR(__xludf.DUMMYFUNCTION("""COMPUTED_VALUE"""),"Sand Veil")</f>
        <v>Sand Veil</v>
      </c>
      <c r="T99" s="24" t="str">
        <f ca="1">IFERROR(__xludf.DUMMYFUNCTION("""COMPUTED_VALUE"""),"Sand Rush")</f>
        <v>Sand Rush</v>
      </c>
      <c r="U99" s="24" t="str">
        <f ca="1">IFERROR(__xludf.DUMMYFUNCTION("""COMPUTED_VALUE"""),"Earth Eater")</f>
        <v>Earth Eater</v>
      </c>
      <c r="V99" s="25" t="str">
        <f ca="1">IFERROR(__xludf.DUMMYFUNCTION("""COMPUTED_VALUE"""),"Lv. 22")</f>
        <v>Lv. 22</v>
      </c>
      <c r="W99" s="25"/>
      <c r="X99" s="25" t="str">
        <f ca="1">IFERROR(__xludf.DUMMYFUNCTION("""COMPUTED_VALUE"""),"Grip Claw")</f>
        <v>Grip Claw</v>
      </c>
      <c r="Y99" s="25" t="str">
        <f ca="1">IFERROR(__xludf.DUMMYFUNCTION("""COMPUTED_VALUE"""),"The Stygian Caves (wild)")</f>
        <v>The Stygian Caves (wild)</v>
      </c>
    </row>
    <row r="100" spans="1:25" x14ac:dyDescent="0.25">
      <c r="A100" s="13" t="str">
        <f ca="1">IFERROR(__xludf.DUMMYFUNCTION("""COMPUTED_VALUE"""),"Sandile")</f>
        <v>Sandile</v>
      </c>
      <c r="B100" s="14">
        <f ca="1">IFERROR(__xludf.DUMMYFUNCTION("""COMPUTED_VALUE"""),99)</f>
        <v>99</v>
      </c>
      <c r="C100" s="3" t="str">
        <f ca="1">IFERROR(__xludf.DUMMYFUNCTION("""COMPUTED_VALUE"""),"Ground")</f>
        <v>Ground</v>
      </c>
      <c r="D100" s="3" t="str">
        <f ca="1">IFERROR(__xludf.DUMMYFUNCTION("""COMPUTED_VALUE"""),"Dark")</f>
        <v>Dark</v>
      </c>
      <c r="E100" s="4">
        <f ca="1">IFERROR(__xludf.DUMMYFUNCTION("""COMPUTED_VALUE"""),50)</f>
        <v>50</v>
      </c>
      <c r="F100" s="4">
        <f ca="1">IFERROR(__xludf.DUMMYFUNCTION("""COMPUTED_VALUE"""),0)</f>
        <v>0</v>
      </c>
      <c r="G100" s="5">
        <f ca="1">IFERROR(__xludf.DUMMYFUNCTION("""COMPUTED_VALUE"""),72)</f>
        <v>72</v>
      </c>
      <c r="H100" s="5">
        <f ca="1">IFERROR(__xludf.DUMMYFUNCTION("""COMPUTED_VALUE"""),0)</f>
        <v>0</v>
      </c>
      <c r="I100" s="6">
        <f ca="1">IFERROR(__xludf.DUMMYFUNCTION("""COMPUTED_VALUE"""),35)</f>
        <v>35</v>
      </c>
      <c r="J100" s="6">
        <f ca="1">IFERROR(__xludf.DUMMYFUNCTION("""COMPUTED_VALUE"""),0)</f>
        <v>0</v>
      </c>
      <c r="K100" s="7">
        <f ca="1">IFERROR(__xludf.DUMMYFUNCTION("""COMPUTED_VALUE"""),35)</f>
        <v>35</v>
      </c>
      <c r="L100" s="7">
        <f ca="1">IFERROR(__xludf.DUMMYFUNCTION("""COMPUTED_VALUE"""),0)</f>
        <v>0</v>
      </c>
      <c r="M100" s="8">
        <f ca="1">IFERROR(__xludf.DUMMYFUNCTION("""COMPUTED_VALUE"""),35)</f>
        <v>35</v>
      </c>
      <c r="N100" s="8">
        <f ca="1">IFERROR(__xludf.DUMMYFUNCTION("""COMPUTED_VALUE"""),0)</f>
        <v>0</v>
      </c>
      <c r="O100" s="9">
        <f ca="1">IFERROR(__xludf.DUMMYFUNCTION("""COMPUTED_VALUE"""),65)</f>
        <v>65</v>
      </c>
      <c r="P100" s="9">
        <f ca="1">IFERROR(__xludf.DUMMYFUNCTION("""COMPUTED_VALUE"""),0)</f>
        <v>0</v>
      </c>
      <c r="Q100" s="10">
        <f ca="1">IFERROR(__xludf.DUMMYFUNCTION("""COMPUTED_VALUE"""),292)</f>
        <v>292</v>
      </c>
      <c r="R100" s="10">
        <f ca="1">IFERROR(__xludf.DUMMYFUNCTION("""COMPUTED_VALUE"""),0)</f>
        <v>0</v>
      </c>
      <c r="S100" s="11" t="str">
        <f ca="1">IFERROR(__xludf.DUMMYFUNCTION("""COMPUTED_VALUE"""),"Intimidate")</f>
        <v>Intimidate</v>
      </c>
      <c r="T100" s="11" t="str">
        <f ca="1">IFERROR(__xludf.DUMMYFUNCTION("""COMPUTED_VALUE"""),"Moxie")</f>
        <v>Moxie</v>
      </c>
      <c r="U100" s="11" t="str">
        <f ca="1">IFERROR(__xludf.DUMMYFUNCTION("""COMPUTED_VALUE"""),"Anger Point")</f>
        <v>Anger Point</v>
      </c>
      <c r="V100" s="12"/>
      <c r="W100" s="12"/>
      <c r="X100" s="12" t="str">
        <f ca="1">IFERROR(__xludf.DUMMYFUNCTION("""COMPUTED_VALUE"""),"Black Glasses")</f>
        <v>Black Glasses</v>
      </c>
      <c r="Y100" s="12" t="str">
        <f ca="1">IFERROR(__xludf.DUMMYFUNCTION("""COMPUTED_VALUE"""),"Riverwalk Trail N, Erinys Path W (wild)")</f>
        <v>Riverwalk Trail N, Erinys Path W (wild)</v>
      </c>
    </row>
    <row r="101" spans="1:25" x14ac:dyDescent="0.25">
      <c r="A101" s="15" t="str">
        <f ca="1">IFERROR(__xludf.DUMMYFUNCTION("""COMPUTED_VALUE"""),"Krokorok")</f>
        <v>Krokorok</v>
      </c>
      <c r="B101" s="16">
        <f ca="1">IFERROR(__xludf.DUMMYFUNCTION("""COMPUTED_VALUE"""),100)</f>
        <v>100</v>
      </c>
      <c r="C101" s="3" t="str">
        <f ca="1">IFERROR(__xludf.DUMMYFUNCTION("""COMPUTED_VALUE"""),"Ground")</f>
        <v>Ground</v>
      </c>
      <c r="D101" s="3" t="str">
        <f ca="1">IFERROR(__xludf.DUMMYFUNCTION("""COMPUTED_VALUE"""),"Dark")</f>
        <v>Dark</v>
      </c>
      <c r="E101" s="17">
        <f ca="1">IFERROR(__xludf.DUMMYFUNCTION("""COMPUTED_VALUE"""),60)</f>
        <v>60</v>
      </c>
      <c r="F101" s="17">
        <f ca="1">IFERROR(__xludf.DUMMYFUNCTION("""COMPUTED_VALUE"""),0)</f>
        <v>0</v>
      </c>
      <c r="G101" s="18">
        <f ca="1">IFERROR(__xludf.DUMMYFUNCTION("""COMPUTED_VALUE"""),82)</f>
        <v>82</v>
      </c>
      <c r="H101" s="18">
        <f ca="1">IFERROR(__xludf.DUMMYFUNCTION("""COMPUTED_VALUE"""),0)</f>
        <v>0</v>
      </c>
      <c r="I101" s="19">
        <f ca="1">IFERROR(__xludf.DUMMYFUNCTION("""COMPUTED_VALUE"""),45)</f>
        <v>45</v>
      </c>
      <c r="J101" s="19">
        <f ca="1">IFERROR(__xludf.DUMMYFUNCTION("""COMPUTED_VALUE"""),0)</f>
        <v>0</v>
      </c>
      <c r="K101" s="20">
        <f ca="1">IFERROR(__xludf.DUMMYFUNCTION("""COMPUTED_VALUE"""),45)</f>
        <v>45</v>
      </c>
      <c r="L101" s="20">
        <f ca="1">IFERROR(__xludf.DUMMYFUNCTION("""COMPUTED_VALUE"""),0)</f>
        <v>0</v>
      </c>
      <c r="M101" s="21">
        <f ca="1">IFERROR(__xludf.DUMMYFUNCTION("""COMPUTED_VALUE"""),45)</f>
        <v>45</v>
      </c>
      <c r="N101" s="21">
        <f ca="1">IFERROR(__xludf.DUMMYFUNCTION("""COMPUTED_VALUE"""),0)</f>
        <v>0</v>
      </c>
      <c r="O101" s="22">
        <f ca="1">IFERROR(__xludf.DUMMYFUNCTION("""COMPUTED_VALUE"""),74)</f>
        <v>74</v>
      </c>
      <c r="P101" s="22">
        <f ca="1">IFERROR(__xludf.DUMMYFUNCTION("""COMPUTED_VALUE"""),0)</f>
        <v>0</v>
      </c>
      <c r="Q101" s="23">
        <f ca="1">IFERROR(__xludf.DUMMYFUNCTION("""COMPUTED_VALUE"""),351)</f>
        <v>351</v>
      </c>
      <c r="R101" s="23">
        <f ca="1">IFERROR(__xludf.DUMMYFUNCTION("""COMPUTED_VALUE"""),0)</f>
        <v>0</v>
      </c>
      <c r="S101" s="24" t="str">
        <f ca="1">IFERROR(__xludf.DUMMYFUNCTION("""COMPUTED_VALUE"""),"Intimidate")</f>
        <v>Intimidate</v>
      </c>
      <c r="T101" s="24" t="str">
        <f ca="1">IFERROR(__xludf.DUMMYFUNCTION("""COMPUTED_VALUE"""),"Moxie")</f>
        <v>Moxie</v>
      </c>
      <c r="U101" s="24" t="str">
        <f ca="1">IFERROR(__xludf.DUMMYFUNCTION("""COMPUTED_VALUE"""),"Anger Point")</f>
        <v>Anger Point</v>
      </c>
      <c r="V101" s="25" t="str">
        <f ca="1">IFERROR(__xludf.DUMMYFUNCTION("""COMPUTED_VALUE"""),"Lv. 29")</f>
        <v>Lv. 29</v>
      </c>
      <c r="W101" s="25"/>
      <c r="X101" s="25" t="str">
        <f ca="1">IFERROR(__xludf.DUMMYFUNCTION("""COMPUTED_VALUE"""),"Black Glasses")</f>
        <v>Black Glasses</v>
      </c>
      <c r="Y101" s="25" t="str">
        <f ca="1">IFERROR(__xludf.DUMMYFUNCTION("""COMPUTED_VALUE"""),"Fresco Isles (wild)")</f>
        <v>Fresco Isles (wild)</v>
      </c>
    </row>
    <row r="102" spans="1:25" x14ac:dyDescent="0.25">
      <c r="A102" s="15" t="str">
        <f ca="1">IFERROR(__xludf.DUMMYFUNCTION("""COMPUTED_VALUE"""),"Krookodile")</f>
        <v>Krookodile</v>
      </c>
      <c r="B102" s="16">
        <f ca="1">IFERROR(__xludf.DUMMYFUNCTION("""COMPUTED_VALUE"""),101)</f>
        <v>101</v>
      </c>
      <c r="C102" s="3" t="str">
        <f ca="1">IFERROR(__xludf.DUMMYFUNCTION("""COMPUTED_VALUE"""),"Ground")</f>
        <v>Ground</v>
      </c>
      <c r="D102" s="3" t="str">
        <f ca="1">IFERROR(__xludf.DUMMYFUNCTION("""COMPUTED_VALUE"""),"Dark")</f>
        <v>Dark</v>
      </c>
      <c r="E102" s="17">
        <f ca="1">IFERROR(__xludf.DUMMYFUNCTION("""COMPUTED_VALUE"""),100)</f>
        <v>100</v>
      </c>
      <c r="F102" s="17">
        <f ca="1">IFERROR(__xludf.DUMMYFUNCTION("""COMPUTED_VALUE"""),5)</f>
        <v>5</v>
      </c>
      <c r="G102" s="18">
        <f ca="1">IFERROR(__xludf.DUMMYFUNCTION("""COMPUTED_VALUE"""),122)</f>
        <v>122</v>
      </c>
      <c r="H102" s="18">
        <f ca="1">IFERROR(__xludf.DUMMYFUNCTION("""COMPUTED_VALUE"""),5)</f>
        <v>5</v>
      </c>
      <c r="I102" s="19">
        <f ca="1">IFERROR(__xludf.DUMMYFUNCTION("""COMPUTED_VALUE"""),80)</f>
        <v>80</v>
      </c>
      <c r="J102" s="19">
        <f ca="1">IFERROR(__xludf.DUMMYFUNCTION("""COMPUTED_VALUE"""),0)</f>
        <v>0</v>
      </c>
      <c r="K102" s="20">
        <f ca="1">IFERROR(__xludf.DUMMYFUNCTION("""COMPUTED_VALUE"""),65)</f>
        <v>65</v>
      </c>
      <c r="L102" s="20">
        <f ca="1">IFERROR(__xludf.DUMMYFUNCTION("""COMPUTED_VALUE"""),0)</f>
        <v>0</v>
      </c>
      <c r="M102" s="21">
        <f ca="1">IFERROR(__xludf.DUMMYFUNCTION("""COMPUTED_VALUE"""),70)</f>
        <v>70</v>
      </c>
      <c r="N102" s="21">
        <f ca="1">IFERROR(__xludf.DUMMYFUNCTION("""COMPUTED_VALUE"""),0)</f>
        <v>0</v>
      </c>
      <c r="O102" s="22">
        <f ca="1">IFERROR(__xludf.DUMMYFUNCTION("""COMPUTED_VALUE"""),92)</f>
        <v>92</v>
      </c>
      <c r="P102" s="22">
        <f ca="1">IFERROR(__xludf.DUMMYFUNCTION("""COMPUTED_VALUE"""),0)</f>
        <v>0</v>
      </c>
      <c r="Q102" s="23">
        <f ca="1">IFERROR(__xludf.DUMMYFUNCTION("""COMPUTED_VALUE"""),529)</f>
        <v>529</v>
      </c>
      <c r="R102" s="23">
        <f ca="1">IFERROR(__xludf.DUMMYFUNCTION("""COMPUTED_VALUE"""),10)</f>
        <v>10</v>
      </c>
      <c r="S102" s="24" t="str">
        <f ca="1">IFERROR(__xludf.DUMMYFUNCTION("""COMPUTED_VALUE"""),"Intimidate")</f>
        <v>Intimidate</v>
      </c>
      <c r="T102" s="24" t="str">
        <f ca="1">IFERROR(__xludf.DUMMYFUNCTION("""COMPUTED_VALUE"""),"Moxie")</f>
        <v>Moxie</v>
      </c>
      <c r="U102" s="24" t="str">
        <f ca="1">IFERROR(__xludf.DUMMYFUNCTION("""COMPUTED_VALUE"""),"Anger Point")</f>
        <v>Anger Point</v>
      </c>
      <c r="V102" s="25" t="str">
        <f ca="1">IFERROR(__xludf.DUMMYFUNCTION("""COMPUTED_VALUE"""),"Lv. 40")</f>
        <v>Lv. 40</v>
      </c>
      <c r="W102" s="25" t="str">
        <f ca="1">IFERROR(__xludf.DUMMYFUNCTION("""COMPUTED_VALUE"""),"Black Glasses")</f>
        <v>Black Glasses</v>
      </c>
      <c r="X102" s="25"/>
      <c r="Y102" s="25" t="str">
        <f ca="1">IFERROR(__xludf.DUMMYFUNCTION("""COMPUTED_VALUE"""),"Krokorok (evolve)")</f>
        <v>Krokorok (evolve)</v>
      </c>
    </row>
    <row r="103" spans="1:25" x14ac:dyDescent="0.25">
      <c r="A103" s="15" t="str">
        <f ca="1">IFERROR(__xludf.DUMMYFUNCTION("""COMPUTED_VALUE"""),"Nosepass")</f>
        <v>Nosepass</v>
      </c>
      <c r="B103" s="16">
        <f ca="1">IFERROR(__xludf.DUMMYFUNCTION("""COMPUTED_VALUE"""),102)</f>
        <v>102</v>
      </c>
      <c r="C103" s="3" t="str">
        <f ca="1">IFERROR(__xludf.DUMMYFUNCTION("""COMPUTED_VALUE"""),"Rock")</f>
        <v>Rock</v>
      </c>
      <c r="D103" s="3"/>
      <c r="E103" s="17">
        <f ca="1">IFERROR(__xludf.DUMMYFUNCTION("""COMPUTED_VALUE"""),30)</f>
        <v>30</v>
      </c>
      <c r="F103" s="17">
        <f ca="1">IFERROR(__xludf.DUMMYFUNCTION("""COMPUTED_VALUE"""),0)</f>
        <v>0</v>
      </c>
      <c r="G103" s="18">
        <f ca="1">IFERROR(__xludf.DUMMYFUNCTION("""COMPUTED_VALUE"""),45)</f>
        <v>45</v>
      </c>
      <c r="H103" s="18">
        <f ca="1">IFERROR(__xludf.DUMMYFUNCTION("""COMPUTED_VALUE"""),0)</f>
        <v>0</v>
      </c>
      <c r="I103" s="19">
        <f ca="1">IFERROR(__xludf.DUMMYFUNCTION("""COMPUTED_VALUE"""),135)</f>
        <v>135</v>
      </c>
      <c r="J103" s="19">
        <f ca="1">IFERROR(__xludf.DUMMYFUNCTION("""COMPUTED_VALUE"""),0)</f>
        <v>0</v>
      </c>
      <c r="K103" s="20">
        <f ca="1">IFERROR(__xludf.DUMMYFUNCTION("""COMPUTED_VALUE"""),45)</f>
        <v>45</v>
      </c>
      <c r="L103" s="20">
        <f ca="1">IFERROR(__xludf.DUMMYFUNCTION("""COMPUTED_VALUE"""),0)</f>
        <v>0</v>
      </c>
      <c r="M103" s="21">
        <f ca="1">IFERROR(__xludf.DUMMYFUNCTION("""COMPUTED_VALUE"""),90)</f>
        <v>90</v>
      </c>
      <c r="N103" s="21">
        <f ca="1">IFERROR(__xludf.DUMMYFUNCTION("""COMPUTED_VALUE"""),0)</f>
        <v>0</v>
      </c>
      <c r="O103" s="22">
        <f ca="1">IFERROR(__xludf.DUMMYFUNCTION("""COMPUTED_VALUE"""),30)</f>
        <v>30</v>
      </c>
      <c r="P103" s="22">
        <f ca="1">IFERROR(__xludf.DUMMYFUNCTION("""COMPUTED_VALUE"""),0)</f>
        <v>0</v>
      </c>
      <c r="Q103" s="23">
        <f ca="1">IFERROR(__xludf.DUMMYFUNCTION("""COMPUTED_VALUE"""),375)</f>
        <v>375</v>
      </c>
      <c r="R103" s="23">
        <f ca="1">IFERROR(__xludf.DUMMYFUNCTION("""COMPUTED_VALUE"""),0)</f>
        <v>0</v>
      </c>
      <c r="S103" s="24" t="str">
        <f ca="1">IFERROR(__xludf.DUMMYFUNCTION("""COMPUTED_VALUE"""),"Sturdy")</f>
        <v>Sturdy</v>
      </c>
      <c r="T103" s="24" t="str">
        <f ca="1">IFERROR(__xludf.DUMMYFUNCTION("""COMPUTED_VALUE"""),"Magnet Pull")</f>
        <v>Magnet Pull</v>
      </c>
      <c r="U103" s="24" t="str">
        <f ca="1">IFERROR(__xludf.DUMMYFUNCTION("""COMPUTED_VALUE"""),"Sand Force")</f>
        <v>Sand Force</v>
      </c>
      <c r="V103" s="25"/>
      <c r="W103" s="25"/>
      <c r="X103" s="25" t="str">
        <f ca="1">IFERROR(__xludf.DUMMYFUNCTION("""COMPUTED_VALUE"""),"Magnet")</f>
        <v>Magnet</v>
      </c>
      <c r="Y103" s="25" t="str">
        <f ca="1">IFERROR(__xludf.DUMMYFUNCTION("""COMPUTED_VALUE"""),"Acrisia Mountains (wild)")</f>
        <v>Acrisia Mountains (wild)</v>
      </c>
    </row>
    <row r="104" spans="1:25" x14ac:dyDescent="0.25">
      <c r="A104" s="15" t="str">
        <f ca="1">IFERROR(__xludf.DUMMYFUNCTION("""COMPUTED_VALUE"""),"Probopass")</f>
        <v>Probopass</v>
      </c>
      <c r="B104" s="16">
        <f ca="1">IFERROR(__xludf.DUMMYFUNCTION("""COMPUTED_VALUE"""),103)</f>
        <v>103</v>
      </c>
      <c r="C104" s="3" t="str">
        <f ca="1">IFERROR(__xludf.DUMMYFUNCTION("""COMPUTED_VALUE"""),"Rock")</f>
        <v>Rock</v>
      </c>
      <c r="D104" s="3" t="str">
        <f ca="1">IFERROR(__xludf.DUMMYFUNCTION("""COMPUTED_VALUE"""),"Steel")</f>
        <v>Steel</v>
      </c>
      <c r="E104" s="17">
        <f ca="1">IFERROR(__xludf.DUMMYFUNCTION("""COMPUTED_VALUE"""),60)</f>
        <v>60</v>
      </c>
      <c r="F104" s="17">
        <f ca="1">IFERROR(__xludf.DUMMYFUNCTION("""COMPUTED_VALUE"""),0)</f>
        <v>0</v>
      </c>
      <c r="G104" s="18">
        <f ca="1">IFERROR(__xludf.DUMMYFUNCTION("""COMPUTED_VALUE"""),50)</f>
        <v>50</v>
      </c>
      <c r="H104" s="18">
        <f ca="1">IFERROR(__xludf.DUMMYFUNCTION("""COMPUTED_VALUE"""),-5)</f>
        <v>-5</v>
      </c>
      <c r="I104" s="19">
        <f ca="1">IFERROR(__xludf.DUMMYFUNCTION("""COMPUTED_VALUE"""),145)</f>
        <v>145</v>
      </c>
      <c r="J104" s="19">
        <f ca="1">IFERROR(__xludf.DUMMYFUNCTION("""COMPUTED_VALUE"""),0)</f>
        <v>0</v>
      </c>
      <c r="K104" s="20">
        <f ca="1">IFERROR(__xludf.DUMMYFUNCTION("""COMPUTED_VALUE"""),80)</f>
        <v>80</v>
      </c>
      <c r="L104" s="20">
        <f ca="1">IFERROR(__xludf.DUMMYFUNCTION("""COMPUTED_VALUE"""),5)</f>
        <v>5</v>
      </c>
      <c r="M104" s="21">
        <f ca="1">IFERROR(__xludf.DUMMYFUNCTION("""COMPUTED_VALUE"""),150)</f>
        <v>150</v>
      </c>
      <c r="N104" s="21">
        <f ca="1">IFERROR(__xludf.DUMMYFUNCTION("""COMPUTED_VALUE"""),0)</f>
        <v>0</v>
      </c>
      <c r="O104" s="22">
        <f ca="1">IFERROR(__xludf.DUMMYFUNCTION("""COMPUTED_VALUE"""),40)</f>
        <v>40</v>
      </c>
      <c r="P104" s="22">
        <f ca="1">IFERROR(__xludf.DUMMYFUNCTION("""COMPUTED_VALUE"""),0)</f>
        <v>0</v>
      </c>
      <c r="Q104" s="23">
        <f ca="1">IFERROR(__xludf.DUMMYFUNCTION("""COMPUTED_VALUE"""),525)</f>
        <v>525</v>
      </c>
      <c r="R104" s="23">
        <f ca="1">IFERROR(__xludf.DUMMYFUNCTION("""COMPUTED_VALUE"""),0)</f>
        <v>0</v>
      </c>
      <c r="S104" s="24" t="str">
        <f ca="1">IFERROR(__xludf.DUMMYFUNCTION("""COMPUTED_VALUE"""),"Sturdy")</f>
        <v>Sturdy</v>
      </c>
      <c r="T104" s="24" t="str">
        <f ca="1">IFERROR(__xludf.DUMMYFUNCTION("""COMPUTED_VALUE"""),"Magnet Pull")</f>
        <v>Magnet Pull</v>
      </c>
      <c r="U104" s="24" t="str">
        <f ca="1">IFERROR(__xludf.DUMMYFUNCTION("""COMPUTED_VALUE"""),"Sand Force")</f>
        <v>Sand Force</v>
      </c>
      <c r="V104" s="25" t="str">
        <f ca="1">IFERROR(__xludf.DUMMYFUNCTION("""COMPUTED_VALUE"""),"Thunder Stone")</f>
        <v>Thunder Stone</v>
      </c>
      <c r="W104" s="25"/>
      <c r="X104" s="25" t="str">
        <f ca="1">IFERROR(__xludf.DUMMYFUNCTION("""COMPUTED_VALUE"""),"Magnet")</f>
        <v>Magnet</v>
      </c>
      <c r="Y104" s="25" t="str">
        <f ca="1">IFERROR(__xludf.DUMMYFUNCTION("""COMPUTED_VALUE"""),"Nosepass (evolve)")</f>
        <v>Nosepass (evolve)</v>
      </c>
    </row>
    <row r="105" spans="1:25" x14ac:dyDescent="0.25">
      <c r="A105" s="15" t="str">
        <f ca="1">IFERROR(__xludf.DUMMYFUNCTION("""COMPUTED_VALUE"""),"Mawile")</f>
        <v>Mawile</v>
      </c>
      <c r="B105" s="16">
        <f ca="1">IFERROR(__xludf.DUMMYFUNCTION("""COMPUTED_VALUE"""),104)</f>
        <v>104</v>
      </c>
      <c r="C105" s="3" t="str">
        <f ca="1">IFERROR(__xludf.DUMMYFUNCTION("""COMPUTED_VALUE"""),"Steel")</f>
        <v>Steel</v>
      </c>
      <c r="D105" s="3" t="str">
        <f ca="1">IFERROR(__xludf.DUMMYFUNCTION("""COMPUTED_VALUE"""),"Fairy")</f>
        <v>Fairy</v>
      </c>
      <c r="E105" s="17">
        <f ca="1">IFERROR(__xludf.DUMMYFUNCTION("""COMPUTED_VALUE"""),55)</f>
        <v>55</v>
      </c>
      <c r="F105" s="17">
        <f ca="1">IFERROR(__xludf.DUMMYFUNCTION("""COMPUTED_VALUE"""),5)</f>
        <v>5</v>
      </c>
      <c r="G105" s="18">
        <f ca="1">IFERROR(__xludf.DUMMYFUNCTION("""COMPUTED_VALUE"""),85)</f>
        <v>85</v>
      </c>
      <c r="H105" s="18">
        <f ca="1">IFERROR(__xludf.DUMMYFUNCTION("""COMPUTED_VALUE"""),0)</f>
        <v>0</v>
      </c>
      <c r="I105" s="19">
        <f ca="1">IFERROR(__xludf.DUMMYFUNCTION("""COMPUTED_VALUE"""),95)</f>
        <v>95</v>
      </c>
      <c r="J105" s="19">
        <f ca="1">IFERROR(__xludf.DUMMYFUNCTION("""COMPUTED_VALUE"""),10)</f>
        <v>10</v>
      </c>
      <c r="K105" s="20">
        <f ca="1">IFERROR(__xludf.DUMMYFUNCTION("""COMPUTED_VALUE"""),50)</f>
        <v>50</v>
      </c>
      <c r="L105" s="20">
        <f ca="1">IFERROR(__xludf.DUMMYFUNCTION("""COMPUTED_VALUE"""),-5)</f>
        <v>-5</v>
      </c>
      <c r="M105" s="21">
        <f ca="1">IFERROR(__xludf.DUMMYFUNCTION("""COMPUTED_VALUE"""),75)</f>
        <v>75</v>
      </c>
      <c r="N105" s="21">
        <f ca="1">IFERROR(__xludf.DUMMYFUNCTION("""COMPUTED_VALUE"""),20)</f>
        <v>20</v>
      </c>
      <c r="O105" s="22">
        <f ca="1">IFERROR(__xludf.DUMMYFUNCTION("""COMPUTED_VALUE"""),55)</f>
        <v>55</v>
      </c>
      <c r="P105" s="22">
        <f ca="1">IFERROR(__xludf.DUMMYFUNCTION("""COMPUTED_VALUE"""),5)</f>
        <v>5</v>
      </c>
      <c r="Q105" s="23">
        <f ca="1">IFERROR(__xludf.DUMMYFUNCTION("""COMPUTED_VALUE"""),415)</f>
        <v>415</v>
      </c>
      <c r="R105" s="23">
        <f ca="1">IFERROR(__xludf.DUMMYFUNCTION("""COMPUTED_VALUE"""),35)</f>
        <v>35</v>
      </c>
      <c r="S105" s="24" t="str">
        <f ca="1">IFERROR(__xludf.DUMMYFUNCTION("""COMPUTED_VALUE"""),"Hyper Cutter")</f>
        <v>Hyper Cutter</v>
      </c>
      <c r="T105" s="24" t="str">
        <f ca="1">IFERROR(__xludf.DUMMYFUNCTION("""COMPUTED_VALUE"""),"Intimidate")</f>
        <v>Intimidate</v>
      </c>
      <c r="U105" s="24" t="str">
        <f ca="1">IFERROR(__xludf.DUMMYFUNCTION("""COMPUTED_VALUE"""),"Huge Power")</f>
        <v>Huge Power</v>
      </c>
      <c r="V105" s="25"/>
      <c r="W105" s="25"/>
      <c r="X105" s="25" t="str">
        <f ca="1">IFERROR(__xludf.DUMMYFUNCTION("""COMPUTED_VALUE"""),"Iron Ball")</f>
        <v>Iron Ball</v>
      </c>
      <c r="Y105" s="25" t="str">
        <f ca="1">IFERROR(__xludf.DUMMYFUNCTION("""COMPUTED_VALUE"""),"Acrisia Mountains, The Stygian Caves (wild)")</f>
        <v>Acrisia Mountains, The Stygian Caves (wild)</v>
      </c>
    </row>
    <row r="106" spans="1:25" x14ac:dyDescent="0.25">
      <c r="A106" s="15" t="str">
        <f ca="1">IFERROR(__xludf.DUMMYFUNCTION("""COMPUTED_VALUE"""),"Rockruff")</f>
        <v>Rockruff</v>
      </c>
      <c r="B106" s="16">
        <f ca="1">IFERROR(__xludf.DUMMYFUNCTION("""COMPUTED_VALUE"""),105)</f>
        <v>105</v>
      </c>
      <c r="C106" s="3" t="str">
        <f ca="1">IFERROR(__xludf.DUMMYFUNCTION("""COMPUTED_VALUE"""),"Rock")</f>
        <v>Rock</v>
      </c>
      <c r="D106" s="3"/>
      <c r="E106" s="17">
        <f ca="1">IFERROR(__xludf.DUMMYFUNCTION("""COMPUTED_VALUE"""),45)</f>
        <v>45</v>
      </c>
      <c r="F106" s="17">
        <f ca="1">IFERROR(__xludf.DUMMYFUNCTION("""COMPUTED_VALUE"""),0)</f>
        <v>0</v>
      </c>
      <c r="G106" s="18">
        <f ca="1">IFERROR(__xludf.DUMMYFUNCTION("""COMPUTED_VALUE"""),65)</f>
        <v>65</v>
      </c>
      <c r="H106" s="18">
        <f ca="1">IFERROR(__xludf.DUMMYFUNCTION("""COMPUTED_VALUE"""),0)</f>
        <v>0</v>
      </c>
      <c r="I106" s="19">
        <f ca="1">IFERROR(__xludf.DUMMYFUNCTION("""COMPUTED_VALUE"""),40)</f>
        <v>40</v>
      </c>
      <c r="J106" s="19">
        <f ca="1">IFERROR(__xludf.DUMMYFUNCTION("""COMPUTED_VALUE"""),0)</f>
        <v>0</v>
      </c>
      <c r="K106" s="20">
        <f ca="1">IFERROR(__xludf.DUMMYFUNCTION("""COMPUTED_VALUE"""),30)</f>
        <v>30</v>
      </c>
      <c r="L106" s="20">
        <f ca="1">IFERROR(__xludf.DUMMYFUNCTION("""COMPUTED_VALUE"""),0)</f>
        <v>0</v>
      </c>
      <c r="M106" s="21">
        <f ca="1">IFERROR(__xludf.DUMMYFUNCTION("""COMPUTED_VALUE"""),40)</f>
        <v>40</v>
      </c>
      <c r="N106" s="21">
        <f ca="1">IFERROR(__xludf.DUMMYFUNCTION("""COMPUTED_VALUE"""),0)</f>
        <v>0</v>
      </c>
      <c r="O106" s="22">
        <f ca="1">IFERROR(__xludf.DUMMYFUNCTION("""COMPUTED_VALUE"""),60)</f>
        <v>60</v>
      </c>
      <c r="P106" s="22">
        <f ca="1">IFERROR(__xludf.DUMMYFUNCTION("""COMPUTED_VALUE"""),0)</f>
        <v>0</v>
      </c>
      <c r="Q106" s="23">
        <f ca="1">IFERROR(__xludf.DUMMYFUNCTION("""COMPUTED_VALUE"""),280)</f>
        <v>280</v>
      </c>
      <c r="R106" s="23">
        <f ca="1">IFERROR(__xludf.DUMMYFUNCTION("""COMPUTED_VALUE"""),0)</f>
        <v>0</v>
      </c>
      <c r="S106" s="24" t="str">
        <f ca="1">IFERROR(__xludf.DUMMYFUNCTION("""COMPUTED_VALUE"""),"Keen Eye")</f>
        <v>Keen Eye</v>
      </c>
      <c r="T106" s="24" t="str">
        <f ca="1">IFERROR(__xludf.DUMMYFUNCTION("""COMPUTED_VALUE"""),"Vital Spirit")</f>
        <v>Vital Spirit</v>
      </c>
      <c r="U106" s="24" t="str">
        <f ca="1">IFERROR(__xludf.DUMMYFUNCTION("""COMPUTED_VALUE"""),"Steadfast")</f>
        <v>Steadfast</v>
      </c>
      <c r="V106" s="25"/>
      <c r="W106" s="25"/>
      <c r="X106" s="25"/>
      <c r="Y106" s="25" t="str">
        <f ca="1">IFERROR(__xludf.DUMMYFUNCTION("""COMPUTED_VALUE"""),"Acrisia Mountains, Acrisia Mountains Peak (wild)")</f>
        <v>Acrisia Mountains, Acrisia Mountains Peak (wild)</v>
      </c>
    </row>
    <row r="107" spans="1:25" x14ac:dyDescent="0.25">
      <c r="A107" s="15" t="str">
        <f ca="1">IFERROR(__xludf.DUMMYFUNCTION("""COMPUTED_VALUE"""),"Lycanroc")</f>
        <v>Lycanroc</v>
      </c>
      <c r="B107" s="16">
        <f ca="1">IFERROR(__xludf.DUMMYFUNCTION("""COMPUTED_VALUE"""),106)</f>
        <v>106</v>
      </c>
      <c r="C107" s="3" t="str">
        <f ca="1">IFERROR(__xludf.DUMMYFUNCTION("""COMPUTED_VALUE"""),"Rock")</f>
        <v>Rock</v>
      </c>
      <c r="D107" s="3"/>
      <c r="E107" s="17">
        <f ca="1">IFERROR(__xludf.DUMMYFUNCTION("""COMPUTED_VALUE"""),75)</f>
        <v>75</v>
      </c>
      <c r="F107" s="17">
        <f ca="1">IFERROR(__xludf.DUMMYFUNCTION("""COMPUTED_VALUE"""),0)</f>
        <v>0</v>
      </c>
      <c r="G107" s="18">
        <f ca="1">IFERROR(__xludf.DUMMYFUNCTION("""COMPUTED_VALUE"""),125)</f>
        <v>125</v>
      </c>
      <c r="H107" s="18">
        <f ca="1">IFERROR(__xludf.DUMMYFUNCTION("""COMPUTED_VALUE"""),10)</f>
        <v>10</v>
      </c>
      <c r="I107" s="19">
        <f ca="1">IFERROR(__xludf.DUMMYFUNCTION("""COMPUTED_VALUE"""),70)</f>
        <v>70</v>
      </c>
      <c r="J107" s="19">
        <f ca="1">IFERROR(__xludf.DUMMYFUNCTION("""COMPUTED_VALUE"""),5)</f>
        <v>5</v>
      </c>
      <c r="K107" s="20">
        <f ca="1">IFERROR(__xludf.DUMMYFUNCTION("""COMPUTED_VALUE"""),55)</f>
        <v>55</v>
      </c>
      <c r="L107" s="20">
        <f ca="1">IFERROR(__xludf.DUMMYFUNCTION("""COMPUTED_VALUE"""),0)</f>
        <v>0</v>
      </c>
      <c r="M107" s="21">
        <f ca="1">IFERROR(__xludf.DUMMYFUNCTION("""COMPUTED_VALUE"""),65)</f>
        <v>65</v>
      </c>
      <c r="N107" s="21">
        <f ca="1">IFERROR(__xludf.DUMMYFUNCTION("""COMPUTED_VALUE"""),0)</f>
        <v>0</v>
      </c>
      <c r="O107" s="22">
        <f ca="1">IFERROR(__xludf.DUMMYFUNCTION("""COMPUTED_VALUE"""),117)</f>
        <v>117</v>
      </c>
      <c r="P107" s="22">
        <f ca="1">IFERROR(__xludf.DUMMYFUNCTION("""COMPUTED_VALUE"""),5)</f>
        <v>5</v>
      </c>
      <c r="Q107" s="23">
        <f ca="1">IFERROR(__xludf.DUMMYFUNCTION("""COMPUTED_VALUE"""),507)</f>
        <v>507</v>
      </c>
      <c r="R107" s="23">
        <f ca="1">IFERROR(__xludf.DUMMYFUNCTION("""COMPUTED_VALUE"""),20)</f>
        <v>20</v>
      </c>
      <c r="S107" s="24" t="str">
        <f ca="1">IFERROR(__xludf.DUMMYFUNCTION("""COMPUTED_VALUE"""),"Keen Eye")</f>
        <v>Keen Eye</v>
      </c>
      <c r="T107" s="24" t="str">
        <f ca="1">IFERROR(__xludf.DUMMYFUNCTION("""COMPUTED_VALUE"""),"Strong Jaw")</f>
        <v>Strong Jaw</v>
      </c>
      <c r="U107" s="24" t="str">
        <f ca="1">IFERROR(__xludf.DUMMYFUNCTION("""COMPUTED_VALUE"""),"Steadfast")</f>
        <v>Steadfast</v>
      </c>
      <c r="V107" s="25" t="str">
        <f ca="1">IFERROR(__xludf.DUMMYFUNCTION("""COMPUTED_VALUE"""),"Lv. 25, Day")</f>
        <v>Lv. 25, Day</v>
      </c>
      <c r="W107" s="25"/>
      <c r="X107" s="25"/>
      <c r="Y107" s="25" t="str">
        <f ca="1">IFERROR(__xludf.DUMMYFUNCTION("""COMPUTED_VALUE"""),"Palati City (wild)")</f>
        <v>Palati City (wild)</v>
      </c>
    </row>
    <row r="108" spans="1:25" x14ac:dyDescent="0.25">
      <c r="A108" s="15" t="str">
        <f ca="1">IFERROR(__xludf.DUMMYFUNCTION("""COMPUTED_VALUE"""),"Vullaby")</f>
        <v>Vullaby</v>
      </c>
      <c r="B108" s="16">
        <f ca="1">IFERROR(__xludf.DUMMYFUNCTION("""COMPUTED_VALUE"""),107)</f>
        <v>107</v>
      </c>
      <c r="C108" s="3" t="str">
        <f ca="1">IFERROR(__xludf.DUMMYFUNCTION("""COMPUTED_VALUE"""),"Dark")</f>
        <v>Dark</v>
      </c>
      <c r="D108" s="3" t="str">
        <f ca="1">IFERROR(__xludf.DUMMYFUNCTION("""COMPUTED_VALUE"""),"Flying")</f>
        <v>Flying</v>
      </c>
      <c r="E108" s="17">
        <f ca="1">IFERROR(__xludf.DUMMYFUNCTION("""COMPUTED_VALUE"""),70)</f>
        <v>70</v>
      </c>
      <c r="F108" s="17">
        <f ca="1">IFERROR(__xludf.DUMMYFUNCTION("""COMPUTED_VALUE"""),0)</f>
        <v>0</v>
      </c>
      <c r="G108" s="18">
        <f ca="1">IFERROR(__xludf.DUMMYFUNCTION("""COMPUTED_VALUE"""),55)</f>
        <v>55</v>
      </c>
      <c r="H108" s="18">
        <f ca="1">IFERROR(__xludf.DUMMYFUNCTION("""COMPUTED_VALUE"""),0)</f>
        <v>0</v>
      </c>
      <c r="I108" s="19">
        <f ca="1">IFERROR(__xludf.DUMMYFUNCTION("""COMPUTED_VALUE"""),75)</f>
        <v>75</v>
      </c>
      <c r="J108" s="19">
        <f ca="1">IFERROR(__xludf.DUMMYFUNCTION("""COMPUTED_VALUE"""),0)</f>
        <v>0</v>
      </c>
      <c r="K108" s="20">
        <f ca="1">IFERROR(__xludf.DUMMYFUNCTION("""COMPUTED_VALUE"""),45)</f>
        <v>45</v>
      </c>
      <c r="L108" s="20">
        <f ca="1">IFERROR(__xludf.DUMMYFUNCTION("""COMPUTED_VALUE"""),0)</f>
        <v>0</v>
      </c>
      <c r="M108" s="21">
        <f ca="1">IFERROR(__xludf.DUMMYFUNCTION("""COMPUTED_VALUE"""),65)</f>
        <v>65</v>
      </c>
      <c r="N108" s="21">
        <f ca="1">IFERROR(__xludf.DUMMYFUNCTION("""COMPUTED_VALUE"""),0)</f>
        <v>0</v>
      </c>
      <c r="O108" s="22">
        <f ca="1">IFERROR(__xludf.DUMMYFUNCTION("""COMPUTED_VALUE"""),60)</f>
        <v>60</v>
      </c>
      <c r="P108" s="22">
        <f ca="1">IFERROR(__xludf.DUMMYFUNCTION("""COMPUTED_VALUE"""),0)</f>
        <v>0</v>
      </c>
      <c r="Q108" s="23">
        <f ca="1">IFERROR(__xludf.DUMMYFUNCTION("""COMPUTED_VALUE"""),370)</f>
        <v>370</v>
      </c>
      <c r="R108" s="23">
        <f ca="1">IFERROR(__xludf.DUMMYFUNCTION("""COMPUTED_VALUE"""),0)</f>
        <v>0</v>
      </c>
      <c r="S108" s="24" t="str">
        <f ca="1">IFERROR(__xludf.DUMMYFUNCTION("""COMPUTED_VALUE"""),"Regenerator")</f>
        <v>Regenerator</v>
      </c>
      <c r="T108" s="24" t="str">
        <f ca="1">IFERROR(__xludf.DUMMYFUNCTION("""COMPUTED_VALUE"""),"Overcoat")</f>
        <v>Overcoat</v>
      </c>
      <c r="U108" s="24" t="str">
        <f ca="1">IFERROR(__xludf.DUMMYFUNCTION("""COMPUTED_VALUE"""),"Weak Armor")</f>
        <v>Weak Armor</v>
      </c>
      <c r="V108" s="25"/>
      <c r="W108" s="25"/>
      <c r="X108" s="25"/>
      <c r="Y108" s="25" t="str">
        <f ca="1">IFERROR(__xludf.DUMMYFUNCTION("""COMPUTED_VALUE"""),"Bronze Fields S, Acrisia Mountains, Pythios Town, Sea of Asteri (wild)")</f>
        <v>Bronze Fields S, Acrisia Mountains, Pythios Town, Sea of Asteri (wild)</v>
      </c>
    </row>
    <row r="109" spans="1:25" x14ac:dyDescent="0.25">
      <c r="A109" s="15" t="str">
        <f ca="1">IFERROR(__xludf.DUMMYFUNCTION("""COMPUTED_VALUE"""),"Mandibuzz")</f>
        <v>Mandibuzz</v>
      </c>
      <c r="B109" s="16">
        <f ca="1">IFERROR(__xludf.DUMMYFUNCTION("""COMPUTED_VALUE"""),108)</f>
        <v>108</v>
      </c>
      <c r="C109" s="3" t="str">
        <f ca="1">IFERROR(__xludf.DUMMYFUNCTION("""COMPUTED_VALUE"""),"Dark")</f>
        <v>Dark</v>
      </c>
      <c r="D109" s="3" t="str">
        <f ca="1">IFERROR(__xludf.DUMMYFUNCTION("""COMPUTED_VALUE"""),"Flying")</f>
        <v>Flying</v>
      </c>
      <c r="E109" s="17">
        <f ca="1">IFERROR(__xludf.DUMMYFUNCTION("""COMPUTED_VALUE"""),115)</f>
        <v>115</v>
      </c>
      <c r="F109" s="17">
        <f ca="1">IFERROR(__xludf.DUMMYFUNCTION("""COMPUTED_VALUE"""),5)</f>
        <v>5</v>
      </c>
      <c r="G109" s="18">
        <f ca="1">IFERROR(__xludf.DUMMYFUNCTION("""COMPUTED_VALUE"""),85)</f>
        <v>85</v>
      </c>
      <c r="H109" s="18">
        <f ca="1">IFERROR(__xludf.DUMMYFUNCTION("""COMPUTED_VALUE"""),20)</f>
        <v>20</v>
      </c>
      <c r="I109" s="19">
        <f ca="1">IFERROR(__xludf.DUMMYFUNCTION("""COMPUTED_VALUE"""),110)</f>
        <v>110</v>
      </c>
      <c r="J109" s="19">
        <f ca="1">IFERROR(__xludf.DUMMYFUNCTION("""COMPUTED_VALUE"""),5)</f>
        <v>5</v>
      </c>
      <c r="K109" s="20">
        <f ca="1">IFERROR(__xludf.DUMMYFUNCTION("""COMPUTED_VALUE"""),35)</f>
        <v>35</v>
      </c>
      <c r="L109" s="20">
        <f ca="1">IFERROR(__xludf.DUMMYFUNCTION("""COMPUTED_VALUE"""),-20)</f>
        <v>-20</v>
      </c>
      <c r="M109" s="21">
        <f ca="1">IFERROR(__xludf.DUMMYFUNCTION("""COMPUTED_VALUE"""),95)</f>
        <v>95</v>
      </c>
      <c r="N109" s="21">
        <f ca="1">IFERROR(__xludf.DUMMYFUNCTION("""COMPUTED_VALUE"""),0)</f>
        <v>0</v>
      </c>
      <c r="O109" s="22">
        <f ca="1">IFERROR(__xludf.DUMMYFUNCTION("""COMPUTED_VALUE"""),70)</f>
        <v>70</v>
      </c>
      <c r="P109" s="22">
        <f ca="1">IFERROR(__xludf.DUMMYFUNCTION("""COMPUTED_VALUE"""),-10)</f>
        <v>-10</v>
      </c>
      <c r="Q109" s="23">
        <f ca="1">IFERROR(__xludf.DUMMYFUNCTION("""COMPUTED_VALUE"""),510)</f>
        <v>510</v>
      </c>
      <c r="R109" s="23">
        <f ca="1">IFERROR(__xludf.DUMMYFUNCTION("""COMPUTED_VALUE"""),0)</f>
        <v>0</v>
      </c>
      <c r="S109" s="24" t="str">
        <f ca="1">IFERROR(__xludf.DUMMYFUNCTION("""COMPUTED_VALUE"""),"Regenerator")</f>
        <v>Regenerator</v>
      </c>
      <c r="T109" s="24" t="str">
        <f ca="1">IFERROR(__xludf.DUMMYFUNCTION("""COMPUTED_VALUE"""),"Overcoat")</f>
        <v>Overcoat</v>
      </c>
      <c r="U109" s="24" t="str">
        <f ca="1">IFERROR(__xludf.DUMMYFUNCTION("""COMPUTED_VALUE"""),"Weak Armor")</f>
        <v>Weak Armor</v>
      </c>
      <c r="V109" s="25" t="str">
        <f ca="1">IFERROR(__xludf.DUMMYFUNCTION("""COMPUTED_VALUE"""),"Lv. 34")</f>
        <v>Lv. 34</v>
      </c>
      <c r="W109" s="25"/>
      <c r="X109" s="25"/>
      <c r="Y109" s="25" t="str">
        <f ca="1">IFERROR(__xludf.DUMMYFUNCTION("""COMPUTED_VALUE"""),"Vullaby (evolve)")</f>
        <v>Vullaby (evolve)</v>
      </c>
    </row>
    <row r="110" spans="1:25" x14ac:dyDescent="0.25">
      <c r="A110" s="15" t="str">
        <f ca="1">IFERROR(__xludf.DUMMYFUNCTION("""COMPUTED_VALUE"""),"Woobat")</f>
        <v>Woobat</v>
      </c>
      <c r="B110" s="16">
        <f ca="1">IFERROR(__xludf.DUMMYFUNCTION("""COMPUTED_VALUE"""),109)</f>
        <v>109</v>
      </c>
      <c r="C110" s="3" t="str">
        <f ca="1">IFERROR(__xludf.DUMMYFUNCTION("""COMPUTED_VALUE"""),"Psychic")</f>
        <v>Psychic</v>
      </c>
      <c r="D110" s="3" t="str">
        <f ca="1">IFERROR(__xludf.DUMMYFUNCTION("""COMPUTED_VALUE"""),"Flying")</f>
        <v>Flying</v>
      </c>
      <c r="E110" s="17">
        <f ca="1">IFERROR(__xludf.DUMMYFUNCTION("""COMPUTED_VALUE"""),70)</f>
        <v>70</v>
      </c>
      <c r="F110" s="17">
        <f ca="1">IFERROR(__xludf.DUMMYFUNCTION("""COMPUTED_VALUE"""),15)</f>
        <v>15</v>
      </c>
      <c r="G110" s="18">
        <f ca="1">IFERROR(__xludf.DUMMYFUNCTION("""COMPUTED_VALUE"""),45)</f>
        <v>45</v>
      </c>
      <c r="H110" s="18">
        <f ca="1">IFERROR(__xludf.DUMMYFUNCTION("""COMPUTED_VALUE"""),0)</f>
        <v>0</v>
      </c>
      <c r="I110" s="19">
        <f ca="1">IFERROR(__xludf.DUMMYFUNCTION("""COMPUTED_VALUE"""),43)</f>
        <v>43</v>
      </c>
      <c r="J110" s="19">
        <f ca="1">IFERROR(__xludf.DUMMYFUNCTION("""COMPUTED_VALUE"""),0)</f>
        <v>0</v>
      </c>
      <c r="K110" s="20">
        <f ca="1">IFERROR(__xludf.DUMMYFUNCTION("""COMPUTED_VALUE"""),55)</f>
        <v>55</v>
      </c>
      <c r="L110" s="20">
        <f ca="1">IFERROR(__xludf.DUMMYFUNCTION("""COMPUTED_VALUE"""),0)</f>
        <v>0</v>
      </c>
      <c r="M110" s="21">
        <f ca="1">IFERROR(__xludf.DUMMYFUNCTION("""COMPUTED_VALUE"""),43)</f>
        <v>43</v>
      </c>
      <c r="N110" s="21">
        <f ca="1">IFERROR(__xludf.DUMMYFUNCTION("""COMPUTED_VALUE"""),0)</f>
        <v>0</v>
      </c>
      <c r="O110" s="22">
        <f ca="1">IFERROR(__xludf.DUMMYFUNCTION("""COMPUTED_VALUE"""),72)</f>
        <v>72</v>
      </c>
      <c r="P110" s="22">
        <f ca="1">IFERROR(__xludf.DUMMYFUNCTION("""COMPUTED_VALUE"""),0)</f>
        <v>0</v>
      </c>
      <c r="Q110" s="23">
        <f ca="1">IFERROR(__xludf.DUMMYFUNCTION("""COMPUTED_VALUE"""),328)</f>
        <v>328</v>
      </c>
      <c r="R110" s="23">
        <f ca="1">IFERROR(__xludf.DUMMYFUNCTION("""COMPUTED_VALUE"""),15)</f>
        <v>15</v>
      </c>
      <c r="S110" s="24" t="str">
        <f ca="1">IFERROR(__xludf.DUMMYFUNCTION("""COMPUTED_VALUE"""),"Unaware")</f>
        <v>Unaware</v>
      </c>
      <c r="T110" s="24" t="str">
        <f ca="1">IFERROR(__xludf.DUMMYFUNCTION("""COMPUTED_VALUE"""),"Harvest")</f>
        <v>Harvest</v>
      </c>
      <c r="U110" s="24" t="str">
        <f ca="1">IFERROR(__xludf.DUMMYFUNCTION("""COMPUTED_VALUE"""),"Simple")</f>
        <v>Simple</v>
      </c>
      <c r="V110" s="25"/>
      <c r="W110" s="25"/>
      <c r="X110" s="25"/>
      <c r="Y110" s="25" t="str">
        <f ca="1">IFERROR(__xludf.DUMMYFUNCTION("""COMPUTED_VALUE"""),"Acrisia Mountains, Jusmail Town (wild)")</f>
        <v>Acrisia Mountains, Jusmail Town (wild)</v>
      </c>
    </row>
    <row r="111" spans="1:25" x14ac:dyDescent="0.25">
      <c r="A111" s="15" t="str">
        <f ca="1">IFERROR(__xludf.DUMMYFUNCTION("""COMPUTED_VALUE"""),"Swoobat")</f>
        <v>Swoobat</v>
      </c>
      <c r="B111" s="16">
        <f ca="1">IFERROR(__xludf.DUMMYFUNCTION("""COMPUTED_VALUE"""),110)</f>
        <v>110</v>
      </c>
      <c r="C111" s="3" t="str">
        <f ca="1">IFERROR(__xludf.DUMMYFUNCTION("""COMPUTED_VALUE"""),"Psychic")</f>
        <v>Psychic</v>
      </c>
      <c r="D111" s="3" t="str">
        <f ca="1">IFERROR(__xludf.DUMMYFUNCTION("""COMPUTED_VALUE"""),"Flying")</f>
        <v>Flying</v>
      </c>
      <c r="E111" s="17">
        <f ca="1">IFERROR(__xludf.DUMMYFUNCTION("""COMPUTED_VALUE"""),77)</f>
        <v>77</v>
      </c>
      <c r="F111" s="17">
        <f ca="1">IFERROR(__xludf.DUMMYFUNCTION("""COMPUTED_VALUE"""),10)</f>
        <v>10</v>
      </c>
      <c r="G111" s="18">
        <f ca="1">IFERROR(__xludf.DUMMYFUNCTION("""COMPUTED_VALUE"""),67)</f>
        <v>67</v>
      </c>
      <c r="H111" s="18">
        <f ca="1">IFERROR(__xludf.DUMMYFUNCTION("""COMPUTED_VALUE"""),10)</f>
        <v>10</v>
      </c>
      <c r="I111" s="19">
        <f ca="1">IFERROR(__xludf.DUMMYFUNCTION("""COMPUTED_VALUE"""),55)</f>
        <v>55</v>
      </c>
      <c r="J111" s="19">
        <f ca="1">IFERROR(__xludf.DUMMYFUNCTION("""COMPUTED_VALUE"""),0)</f>
        <v>0</v>
      </c>
      <c r="K111" s="20">
        <f ca="1">IFERROR(__xludf.DUMMYFUNCTION("""COMPUTED_VALUE"""),87)</f>
        <v>87</v>
      </c>
      <c r="L111" s="20">
        <f ca="1">IFERROR(__xludf.DUMMYFUNCTION("""COMPUTED_VALUE"""),10)</f>
        <v>10</v>
      </c>
      <c r="M111" s="21">
        <f ca="1">IFERROR(__xludf.DUMMYFUNCTION("""COMPUTED_VALUE"""),60)</f>
        <v>60</v>
      </c>
      <c r="N111" s="21">
        <f ca="1">IFERROR(__xludf.DUMMYFUNCTION("""COMPUTED_VALUE"""),5)</f>
        <v>5</v>
      </c>
      <c r="O111" s="22">
        <f ca="1">IFERROR(__xludf.DUMMYFUNCTION("""COMPUTED_VALUE"""),114)</f>
        <v>114</v>
      </c>
      <c r="P111" s="22">
        <f ca="1">IFERROR(__xludf.DUMMYFUNCTION("""COMPUTED_VALUE"""),0)</f>
        <v>0</v>
      </c>
      <c r="Q111" s="23">
        <f ca="1">IFERROR(__xludf.DUMMYFUNCTION("""COMPUTED_VALUE"""),460)</f>
        <v>460</v>
      </c>
      <c r="R111" s="23">
        <f ca="1">IFERROR(__xludf.DUMMYFUNCTION("""COMPUTED_VALUE"""),35)</f>
        <v>35</v>
      </c>
      <c r="S111" s="24" t="str">
        <f ca="1">IFERROR(__xludf.DUMMYFUNCTION("""COMPUTED_VALUE"""),"Unaware")</f>
        <v>Unaware</v>
      </c>
      <c r="T111" s="24" t="str">
        <f ca="1">IFERROR(__xludf.DUMMYFUNCTION("""COMPUTED_VALUE"""),"Harvest")</f>
        <v>Harvest</v>
      </c>
      <c r="U111" s="24" t="str">
        <f ca="1">IFERROR(__xludf.DUMMYFUNCTION("""COMPUTED_VALUE"""),"Simple")</f>
        <v>Simple</v>
      </c>
      <c r="V111" s="25" t="str">
        <f ca="1">IFERROR(__xludf.DUMMYFUNCTION("""COMPUTED_VALUE"""),"Lv. 24")</f>
        <v>Lv. 24</v>
      </c>
      <c r="W111" s="25"/>
      <c r="X111" s="25"/>
      <c r="Y111" s="25" t="str">
        <f ca="1">IFERROR(__xludf.DUMMYFUNCTION("""COMPUTED_VALUE"""),"Woobat (evolve)")</f>
        <v>Woobat (evolve)</v>
      </c>
    </row>
    <row r="112" spans="1:25" x14ac:dyDescent="0.25">
      <c r="A112" s="15" t="str">
        <f ca="1">IFERROR(__xludf.DUMMYFUNCTION("""COMPUTED_VALUE"""),"Aron")</f>
        <v>Aron</v>
      </c>
      <c r="B112" s="16">
        <f ca="1">IFERROR(__xludf.DUMMYFUNCTION("""COMPUTED_VALUE"""),111)</f>
        <v>111</v>
      </c>
      <c r="C112" s="3" t="str">
        <f ca="1">IFERROR(__xludf.DUMMYFUNCTION("""COMPUTED_VALUE"""),"Steel")</f>
        <v>Steel</v>
      </c>
      <c r="D112" s="3" t="str">
        <f ca="1">IFERROR(__xludf.DUMMYFUNCTION("""COMPUTED_VALUE"""),"Rock")</f>
        <v>Rock</v>
      </c>
      <c r="E112" s="17">
        <f ca="1">IFERROR(__xludf.DUMMYFUNCTION("""COMPUTED_VALUE"""),50)</f>
        <v>50</v>
      </c>
      <c r="F112" s="17">
        <f ca="1">IFERROR(__xludf.DUMMYFUNCTION("""COMPUTED_VALUE"""),0)</f>
        <v>0</v>
      </c>
      <c r="G112" s="18">
        <f ca="1">IFERROR(__xludf.DUMMYFUNCTION("""COMPUTED_VALUE"""),70)</f>
        <v>70</v>
      </c>
      <c r="H112" s="18">
        <f ca="1">IFERROR(__xludf.DUMMYFUNCTION("""COMPUTED_VALUE"""),0)</f>
        <v>0</v>
      </c>
      <c r="I112" s="19">
        <f ca="1">IFERROR(__xludf.DUMMYFUNCTION("""COMPUTED_VALUE"""),100)</f>
        <v>100</v>
      </c>
      <c r="J112" s="19">
        <f ca="1">IFERROR(__xludf.DUMMYFUNCTION("""COMPUTED_VALUE"""),0)</f>
        <v>0</v>
      </c>
      <c r="K112" s="20">
        <f ca="1">IFERROR(__xludf.DUMMYFUNCTION("""COMPUTED_VALUE"""),40)</f>
        <v>40</v>
      </c>
      <c r="L112" s="20">
        <f ca="1">IFERROR(__xludf.DUMMYFUNCTION("""COMPUTED_VALUE"""),0)</f>
        <v>0</v>
      </c>
      <c r="M112" s="21">
        <f ca="1">IFERROR(__xludf.DUMMYFUNCTION("""COMPUTED_VALUE"""),40)</f>
        <v>40</v>
      </c>
      <c r="N112" s="21">
        <f ca="1">IFERROR(__xludf.DUMMYFUNCTION("""COMPUTED_VALUE"""),0)</f>
        <v>0</v>
      </c>
      <c r="O112" s="22">
        <f ca="1">IFERROR(__xludf.DUMMYFUNCTION("""COMPUTED_VALUE"""),30)</f>
        <v>30</v>
      </c>
      <c r="P112" s="22">
        <f ca="1">IFERROR(__xludf.DUMMYFUNCTION("""COMPUTED_VALUE"""),0)</f>
        <v>0</v>
      </c>
      <c r="Q112" s="23">
        <f ca="1">IFERROR(__xludf.DUMMYFUNCTION("""COMPUTED_VALUE"""),330)</f>
        <v>330</v>
      </c>
      <c r="R112" s="23">
        <f ca="1">IFERROR(__xludf.DUMMYFUNCTION("""COMPUTED_VALUE"""),0)</f>
        <v>0</v>
      </c>
      <c r="S112" s="24" t="str">
        <f ca="1">IFERROR(__xludf.DUMMYFUNCTION("""COMPUTED_VALUE"""),"Sturdy")</f>
        <v>Sturdy</v>
      </c>
      <c r="T112" s="24" t="str">
        <f ca="1">IFERROR(__xludf.DUMMYFUNCTION("""COMPUTED_VALUE"""),"Rock Head")</f>
        <v>Rock Head</v>
      </c>
      <c r="U112" s="24" t="str">
        <f ca="1">IFERROR(__xludf.DUMMYFUNCTION("""COMPUTED_VALUE"""),"Heavy Metal")</f>
        <v>Heavy Metal</v>
      </c>
      <c r="V112" s="25"/>
      <c r="W112" s="25"/>
      <c r="X112" s="25" t="str">
        <f ca="1">IFERROR(__xludf.DUMMYFUNCTION("""COMPUTED_VALUE"""),"Hard Stone")</f>
        <v>Hard Stone</v>
      </c>
      <c r="Y112" s="25" t="str">
        <f ca="1">IFERROR(__xludf.DUMMYFUNCTION("""COMPUTED_VALUE"""),"Acrisia Mountains, Riverwalk Trail N (wild)")</f>
        <v>Acrisia Mountains, Riverwalk Trail N (wild)</v>
      </c>
    </row>
    <row r="113" spans="1:25" x14ac:dyDescent="0.25">
      <c r="A113" s="15" t="str">
        <f ca="1">IFERROR(__xludf.DUMMYFUNCTION("""COMPUTED_VALUE"""),"Lairon")</f>
        <v>Lairon</v>
      </c>
      <c r="B113" s="16">
        <f ca="1">IFERROR(__xludf.DUMMYFUNCTION("""COMPUTED_VALUE"""),112)</f>
        <v>112</v>
      </c>
      <c r="C113" s="3" t="str">
        <f ca="1">IFERROR(__xludf.DUMMYFUNCTION("""COMPUTED_VALUE"""),"Steel")</f>
        <v>Steel</v>
      </c>
      <c r="D113" s="3" t="str">
        <f ca="1">IFERROR(__xludf.DUMMYFUNCTION("""COMPUTED_VALUE"""),"Rock")</f>
        <v>Rock</v>
      </c>
      <c r="E113" s="17">
        <f ca="1">IFERROR(__xludf.DUMMYFUNCTION("""COMPUTED_VALUE"""),60)</f>
        <v>60</v>
      </c>
      <c r="F113" s="17">
        <f ca="1">IFERROR(__xludf.DUMMYFUNCTION("""COMPUTED_VALUE"""),0)</f>
        <v>0</v>
      </c>
      <c r="G113" s="18">
        <f ca="1">IFERROR(__xludf.DUMMYFUNCTION("""COMPUTED_VALUE"""),90)</f>
        <v>90</v>
      </c>
      <c r="H113" s="18">
        <f ca="1">IFERROR(__xludf.DUMMYFUNCTION("""COMPUTED_VALUE"""),0)</f>
        <v>0</v>
      </c>
      <c r="I113" s="19">
        <f ca="1">IFERROR(__xludf.DUMMYFUNCTION("""COMPUTED_VALUE"""),140)</f>
        <v>140</v>
      </c>
      <c r="J113" s="19">
        <f ca="1">IFERROR(__xludf.DUMMYFUNCTION("""COMPUTED_VALUE"""),0)</f>
        <v>0</v>
      </c>
      <c r="K113" s="20">
        <f ca="1">IFERROR(__xludf.DUMMYFUNCTION("""COMPUTED_VALUE"""),50)</f>
        <v>50</v>
      </c>
      <c r="L113" s="20">
        <f ca="1">IFERROR(__xludf.DUMMYFUNCTION("""COMPUTED_VALUE"""),0)</f>
        <v>0</v>
      </c>
      <c r="M113" s="21">
        <f ca="1">IFERROR(__xludf.DUMMYFUNCTION("""COMPUTED_VALUE"""),50)</f>
        <v>50</v>
      </c>
      <c r="N113" s="21">
        <f ca="1">IFERROR(__xludf.DUMMYFUNCTION("""COMPUTED_VALUE"""),0)</f>
        <v>0</v>
      </c>
      <c r="O113" s="22">
        <f ca="1">IFERROR(__xludf.DUMMYFUNCTION("""COMPUTED_VALUE"""),40)</f>
        <v>40</v>
      </c>
      <c r="P113" s="22">
        <f ca="1">IFERROR(__xludf.DUMMYFUNCTION("""COMPUTED_VALUE"""),0)</f>
        <v>0</v>
      </c>
      <c r="Q113" s="23">
        <f ca="1">IFERROR(__xludf.DUMMYFUNCTION("""COMPUTED_VALUE"""),430)</f>
        <v>430</v>
      </c>
      <c r="R113" s="23">
        <f ca="1">IFERROR(__xludf.DUMMYFUNCTION("""COMPUTED_VALUE"""),0)</f>
        <v>0</v>
      </c>
      <c r="S113" s="24" t="str">
        <f ca="1">IFERROR(__xludf.DUMMYFUNCTION("""COMPUTED_VALUE"""),"Sturdy")</f>
        <v>Sturdy</v>
      </c>
      <c r="T113" s="24" t="str">
        <f ca="1">IFERROR(__xludf.DUMMYFUNCTION("""COMPUTED_VALUE"""),"Rock Head")</f>
        <v>Rock Head</v>
      </c>
      <c r="U113" s="24" t="str">
        <f ca="1">IFERROR(__xludf.DUMMYFUNCTION("""COMPUTED_VALUE"""),"Dragon's Maw")</f>
        <v>Dragon's Maw</v>
      </c>
      <c r="V113" s="25" t="str">
        <f ca="1">IFERROR(__xludf.DUMMYFUNCTION("""COMPUTED_VALUE"""),"Lv. 28")</f>
        <v>Lv. 28</v>
      </c>
      <c r="W113" s="25"/>
      <c r="X113" s="25" t="str">
        <f ca="1">IFERROR(__xludf.DUMMYFUNCTION("""COMPUTED_VALUE"""),"Hard Stone")</f>
        <v>Hard Stone</v>
      </c>
      <c r="Y113" s="25" t="str">
        <f ca="1">IFERROR(__xludf.DUMMYFUNCTION("""COMPUTED_VALUE"""),"The Stygian Caves (wild)")</f>
        <v>The Stygian Caves (wild)</v>
      </c>
    </row>
    <row r="114" spans="1:25" x14ac:dyDescent="0.25">
      <c r="A114" s="15" t="str">
        <f ca="1">IFERROR(__xludf.DUMMYFUNCTION("""COMPUTED_VALUE"""),"Aggron")</f>
        <v>Aggron</v>
      </c>
      <c r="B114" s="16">
        <f ca="1">IFERROR(__xludf.DUMMYFUNCTION("""COMPUTED_VALUE"""),113)</f>
        <v>113</v>
      </c>
      <c r="C114" s="3" t="str">
        <f ca="1">IFERROR(__xludf.DUMMYFUNCTION("""COMPUTED_VALUE"""),"Steel")</f>
        <v>Steel</v>
      </c>
      <c r="D114" s="3" t="str">
        <f ca="1">IFERROR(__xludf.DUMMYFUNCTION("""COMPUTED_VALUE"""),"Rock")</f>
        <v>Rock</v>
      </c>
      <c r="E114" s="17">
        <f ca="1">IFERROR(__xludf.DUMMYFUNCTION("""COMPUTED_VALUE"""),70)</f>
        <v>70</v>
      </c>
      <c r="F114" s="17">
        <f ca="1">IFERROR(__xludf.DUMMYFUNCTION("""COMPUTED_VALUE"""),0)</f>
        <v>0</v>
      </c>
      <c r="G114" s="18">
        <f ca="1">IFERROR(__xludf.DUMMYFUNCTION("""COMPUTED_VALUE"""),110)</f>
        <v>110</v>
      </c>
      <c r="H114" s="18">
        <f ca="1">IFERROR(__xludf.DUMMYFUNCTION("""COMPUTED_VALUE"""),0)</f>
        <v>0</v>
      </c>
      <c r="I114" s="19">
        <f ca="1">IFERROR(__xludf.DUMMYFUNCTION("""COMPUTED_VALUE"""),180)</f>
        <v>180</v>
      </c>
      <c r="J114" s="19">
        <f ca="1">IFERROR(__xludf.DUMMYFUNCTION("""COMPUTED_VALUE"""),0)</f>
        <v>0</v>
      </c>
      <c r="K114" s="20">
        <f ca="1">IFERROR(__xludf.DUMMYFUNCTION("""COMPUTED_VALUE"""),60)</f>
        <v>60</v>
      </c>
      <c r="L114" s="20">
        <f ca="1">IFERROR(__xludf.DUMMYFUNCTION("""COMPUTED_VALUE"""),0)</f>
        <v>0</v>
      </c>
      <c r="M114" s="21">
        <f ca="1">IFERROR(__xludf.DUMMYFUNCTION("""COMPUTED_VALUE"""),60)</f>
        <v>60</v>
      </c>
      <c r="N114" s="21">
        <f ca="1">IFERROR(__xludf.DUMMYFUNCTION("""COMPUTED_VALUE"""),0)</f>
        <v>0</v>
      </c>
      <c r="O114" s="22">
        <f ca="1">IFERROR(__xludf.DUMMYFUNCTION("""COMPUTED_VALUE"""),50)</f>
        <v>50</v>
      </c>
      <c r="P114" s="22">
        <f ca="1">IFERROR(__xludf.DUMMYFUNCTION("""COMPUTED_VALUE"""),0)</f>
        <v>0</v>
      </c>
      <c r="Q114" s="23">
        <f ca="1">IFERROR(__xludf.DUMMYFUNCTION("""COMPUTED_VALUE"""),530)</f>
        <v>530</v>
      </c>
      <c r="R114" s="23">
        <f ca="1">IFERROR(__xludf.DUMMYFUNCTION("""COMPUTED_VALUE"""),0)</f>
        <v>0</v>
      </c>
      <c r="S114" s="24" t="str">
        <f ca="1">IFERROR(__xludf.DUMMYFUNCTION("""COMPUTED_VALUE"""),"Sturdy")</f>
        <v>Sturdy</v>
      </c>
      <c r="T114" s="24" t="str">
        <f ca="1">IFERROR(__xludf.DUMMYFUNCTION("""COMPUTED_VALUE"""),"Rock Head")</f>
        <v>Rock Head</v>
      </c>
      <c r="U114" s="24" t="str">
        <f ca="1">IFERROR(__xludf.DUMMYFUNCTION("""COMPUTED_VALUE"""),"Dragon's Maw")</f>
        <v>Dragon's Maw</v>
      </c>
      <c r="V114" s="25" t="str">
        <f ca="1">IFERROR(__xludf.DUMMYFUNCTION("""COMPUTED_VALUE"""),"Lv. 42")</f>
        <v>Lv. 42</v>
      </c>
      <c r="W114" s="25"/>
      <c r="X114" s="25" t="str">
        <f ca="1">IFERROR(__xludf.DUMMYFUNCTION("""COMPUTED_VALUE"""),"Hard Stone")</f>
        <v>Hard Stone</v>
      </c>
      <c r="Y114" s="25" t="str">
        <f ca="1">IFERROR(__xludf.DUMMYFUNCTION("""COMPUTED_VALUE"""),"Lairon (evolve)")</f>
        <v>Lairon (evolve)</v>
      </c>
    </row>
    <row r="115" spans="1:25" x14ac:dyDescent="0.25">
      <c r="A115" s="15" t="str">
        <f ca="1">IFERROR(__xludf.DUMMYFUNCTION("""COMPUTED_VALUE"""),"Timburr")</f>
        <v>Timburr</v>
      </c>
      <c r="B115" s="16">
        <f ca="1">IFERROR(__xludf.DUMMYFUNCTION("""COMPUTED_VALUE"""),114)</f>
        <v>114</v>
      </c>
      <c r="C115" s="3" t="str">
        <f ca="1">IFERROR(__xludf.DUMMYFUNCTION("""COMPUTED_VALUE"""),"Fighting")</f>
        <v>Fighting</v>
      </c>
      <c r="D115" s="3"/>
      <c r="E115" s="17">
        <f ca="1">IFERROR(__xludf.DUMMYFUNCTION("""COMPUTED_VALUE"""),75)</f>
        <v>75</v>
      </c>
      <c r="F115" s="17">
        <f ca="1">IFERROR(__xludf.DUMMYFUNCTION("""COMPUTED_VALUE"""),0)</f>
        <v>0</v>
      </c>
      <c r="G115" s="18">
        <f ca="1">IFERROR(__xludf.DUMMYFUNCTION("""COMPUTED_VALUE"""),80)</f>
        <v>80</v>
      </c>
      <c r="H115" s="18">
        <f ca="1">IFERROR(__xludf.DUMMYFUNCTION("""COMPUTED_VALUE"""),0)</f>
        <v>0</v>
      </c>
      <c r="I115" s="19">
        <f ca="1">IFERROR(__xludf.DUMMYFUNCTION("""COMPUTED_VALUE"""),55)</f>
        <v>55</v>
      </c>
      <c r="J115" s="19">
        <f ca="1">IFERROR(__xludf.DUMMYFUNCTION("""COMPUTED_VALUE"""),0)</f>
        <v>0</v>
      </c>
      <c r="K115" s="20">
        <f ca="1">IFERROR(__xludf.DUMMYFUNCTION("""COMPUTED_VALUE"""),25)</f>
        <v>25</v>
      </c>
      <c r="L115" s="20">
        <f ca="1">IFERROR(__xludf.DUMMYFUNCTION("""COMPUTED_VALUE"""),0)</f>
        <v>0</v>
      </c>
      <c r="M115" s="21">
        <f ca="1">IFERROR(__xludf.DUMMYFUNCTION("""COMPUTED_VALUE"""),35)</f>
        <v>35</v>
      </c>
      <c r="N115" s="21">
        <f ca="1">IFERROR(__xludf.DUMMYFUNCTION("""COMPUTED_VALUE"""),0)</f>
        <v>0</v>
      </c>
      <c r="O115" s="22">
        <f ca="1">IFERROR(__xludf.DUMMYFUNCTION("""COMPUTED_VALUE"""),35)</f>
        <v>35</v>
      </c>
      <c r="P115" s="22">
        <f ca="1">IFERROR(__xludf.DUMMYFUNCTION("""COMPUTED_VALUE"""),0)</f>
        <v>0</v>
      </c>
      <c r="Q115" s="23">
        <f ca="1">IFERROR(__xludf.DUMMYFUNCTION("""COMPUTED_VALUE"""),305)</f>
        <v>305</v>
      </c>
      <c r="R115" s="23">
        <f ca="1">IFERROR(__xludf.DUMMYFUNCTION("""COMPUTED_VALUE"""),0)</f>
        <v>0</v>
      </c>
      <c r="S115" s="24" t="str">
        <f ca="1">IFERROR(__xludf.DUMMYFUNCTION("""COMPUTED_VALUE"""),"Guts")</f>
        <v>Guts</v>
      </c>
      <c r="T115" s="24" t="str">
        <f ca="1">IFERROR(__xludf.DUMMYFUNCTION("""COMPUTED_VALUE"""),"Sheer Force")</f>
        <v>Sheer Force</v>
      </c>
      <c r="U115" s="24" t="str">
        <f ca="1">IFERROR(__xludf.DUMMYFUNCTION("""COMPUTED_VALUE"""),"Iron Fist")</f>
        <v>Iron Fist</v>
      </c>
      <c r="V115" s="25"/>
      <c r="W115" s="25"/>
      <c r="X115" s="25"/>
      <c r="Y115" s="25" t="str">
        <f ca="1">IFERROR(__xludf.DUMMYFUNCTION("""COMPUTED_VALUE"""),"Acrisia Mountains, Palati City (wild)")</f>
        <v>Acrisia Mountains, Palati City (wild)</v>
      </c>
    </row>
    <row r="116" spans="1:25" x14ac:dyDescent="0.25">
      <c r="A116" s="15" t="str">
        <f ca="1">IFERROR(__xludf.DUMMYFUNCTION("""COMPUTED_VALUE"""),"Gurdurr")</f>
        <v>Gurdurr</v>
      </c>
      <c r="B116" s="16">
        <f ca="1">IFERROR(__xludf.DUMMYFUNCTION("""COMPUTED_VALUE"""),115)</f>
        <v>115</v>
      </c>
      <c r="C116" s="3" t="str">
        <f ca="1">IFERROR(__xludf.DUMMYFUNCTION("""COMPUTED_VALUE"""),"Fighting")</f>
        <v>Fighting</v>
      </c>
      <c r="D116" s="3"/>
      <c r="E116" s="17">
        <f ca="1">IFERROR(__xludf.DUMMYFUNCTION("""COMPUTED_VALUE"""),85)</f>
        <v>85</v>
      </c>
      <c r="F116" s="17">
        <f ca="1">IFERROR(__xludf.DUMMYFUNCTION("""COMPUTED_VALUE"""),0)</f>
        <v>0</v>
      </c>
      <c r="G116" s="18">
        <f ca="1">IFERROR(__xludf.DUMMYFUNCTION("""COMPUTED_VALUE"""),105)</f>
        <v>105</v>
      </c>
      <c r="H116" s="18">
        <f ca="1">IFERROR(__xludf.DUMMYFUNCTION("""COMPUTED_VALUE"""),0)</f>
        <v>0</v>
      </c>
      <c r="I116" s="19">
        <f ca="1">IFERROR(__xludf.DUMMYFUNCTION("""COMPUTED_VALUE"""),85)</f>
        <v>85</v>
      </c>
      <c r="J116" s="19">
        <f ca="1">IFERROR(__xludf.DUMMYFUNCTION("""COMPUTED_VALUE"""),0)</f>
        <v>0</v>
      </c>
      <c r="K116" s="20">
        <f ca="1">IFERROR(__xludf.DUMMYFUNCTION("""COMPUTED_VALUE"""),40)</f>
        <v>40</v>
      </c>
      <c r="L116" s="20">
        <f ca="1">IFERROR(__xludf.DUMMYFUNCTION("""COMPUTED_VALUE"""),0)</f>
        <v>0</v>
      </c>
      <c r="M116" s="21">
        <f ca="1">IFERROR(__xludf.DUMMYFUNCTION("""COMPUTED_VALUE"""),50)</f>
        <v>50</v>
      </c>
      <c r="N116" s="21">
        <f ca="1">IFERROR(__xludf.DUMMYFUNCTION("""COMPUTED_VALUE"""),0)</f>
        <v>0</v>
      </c>
      <c r="O116" s="22">
        <f ca="1">IFERROR(__xludf.DUMMYFUNCTION("""COMPUTED_VALUE"""),40)</f>
        <v>40</v>
      </c>
      <c r="P116" s="22">
        <f ca="1">IFERROR(__xludf.DUMMYFUNCTION("""COMPUTED_VALUE"""),0)</f>
        <v>0</v>
      </c>
      <c r="Q116" s="23">
        <f ca="1">IFERROR(__xludf.DUMMYFUNCTION("""COMPUTED_VALUE"""),405)</f>
        <v>405</v>
      </c>
      <c r="R116" s="23">
        <f ca="1">IFERROR(__xludf.DUMMYFUNCTION("""COMPUTED_VALUE"""),0)</f>
        <v>0</v>
      </c>
      <c r="S116" s="24" t="str">
        <f ca="1">IFERROR(__xludf.DUMMYFUNCTION("""COMPUTED_VALUE"""),"Guts")</f>
        <v>Guts</v>
      </c>
      <c r="T116" s="24" t="str">
        <f ca="1">IFERROR(__xludf.DUMMYFUNCTION("""COMPUTED_VALUE"""),"Sheer Force")</f>
        <v>Sheer Force</v>
      </c>
      <c r="U116" s="24" t="str">
        <f ca="1">IFERROR(__xludf.DUMMYFUNCTION("""COMPUTED_VALUE"""),"Iron Fist")</f>
        <v>Iron Fist</v>
      </c>
      <c r="V116" s="25" t="str">
        <f ca="1">IFERROR(__xludf.DUMMYFUNCTION("""COMPUTED_VALUE"""),"Lv. 25")</f>
        <v>Lv. 25</v>
      </c>
      <c r="W116" s="25"/>
      <c r="X116" s="25"/>
      <c r="Y116" s="25" t="str">
        <f ca="1">IFERROR(__xludf.DUMMYFUNCTION("""COMPUTED_VALUE"""),"Palati City, The Stygian Caves (wild)")</f>
        <v>Palati City, The Stygian Caves (wild)</v>
      </c>
    </row>
    <row r="117" spans="1:25" x14ac:dyDescent="0.25">
      <c r="A117" s="15" t="str">
        <f ca="1">IFERROR(__xludf.DUMMYFUNCTION("""COMPUTED_VALUE"""),"Conkeldurr")</f>
        <v>Conkeldurr</v>
      </c>
      <c r="B117" s="16">
        <f ca="1">IFERROR(__xludf.DUMMYFUNCTION("""COMPUTED_VALUE"""),116)</f>
        <v>116</v>
      </c>
      <c r="C117" s="3" t="str">
        <f ca="1">IFERROR(__xludf.DUMMYFUNCTION("""COMPUTED_VALUE"""),"Fighting")</f>
        <v>Fighting</v>
      </c>
      <c r="D117" s="3"/>
      <c r="E117" s="17">
        <f ca="1">IFERROR(__xludf.DUMMYFUNCTION("""COMPUTED_VALUE"""),105)</f>
        <v>105</v>
      </c>
      <c r="F117" s="17">
        <f ca="1">IFERROR(__xludf.DUMMYFUNCTION("""COMPUTED_VALUE"""),0)</f>
        <v>0</v>
      </c>
      <c r="G117" s="18">
        <f ca="1">IFERROR(__xludf.DUMMYFUNCTION("""COMPUTED_VALUE"""),140)</f>
        <v>140</v>
      </c>
      <c r="H117" s="18">
        <f ca="1">IFERROR(__xludf.DUMMYFUNCTION("""COMPUTED_VALUE"""),0)</f>
        <v>0</v>
      </c>
      <c r="I117" s="19">
        <f ca="1">IFERROR(__xludf.DUMMYFUNCTION("""COMPUTED_VALUE"""),95)</f>
        <v>95</v>
      </c>
      <c r="J117" s="19">
        <f ca="1">IFERROR(__xludf.DUMMYFUNCTION("""COMPUTED_VALUE"""),0)</f>
        <v>0</v>
      </c>
      <c r="K117" s="20">
        <f ca="1">IFERROR(__xludf.DUMMYFUNCTION("""COMPUTED_VALUE"""),55)</f>
        <v>55</v>
      </c>
      <c r="L117" s="20">
        <f ca="1">IFERROR(__xludf.DUMMYFUNCTION("""COMPUTED_VALUE"""),0)</f>
        <v>0</v>
      </c>
      <c r="M117" s="21">
        <f ca="1">IFERROR(__xludf.DUMMYFUNCTION("""COMPUTED_VALUE"""),65)</f>
        <v>65</v>
      </c>
      <c r="N117" s="21">
        <f ca="1">IFERROR(__xludf.DUMMYFUNCTION("""COMPUTED_VALUE"""),0)</f>
        <v>0</v>
      </c>
      <c r="O117" s="22">
        <f ca="1">IFERROR(__xludf.DUMMYFUNCTION("""COMPUTED_VALUE"""),45)</f>
        <v>45</v>
      </c>
      <c r="P117" s="22">
        <f ca="1">IFERROR(__xludf.DUMMYFUNCTION("""COMPUTED_VALUE"""),0)</f>
        <v>0</v>
      </c>
      <c r="Q117" s="23">
        <f ca="1">IFERROR(__xludf.DUMMYFUNCTION("""COMPUTED_VALUE"""),505)</f>
        <v>505</v>
      </c>
      <c r="R117" s="23">
        <f ca="1">IFERROR(__xludf.DUMMYFUNCTION("""COMPUTED_VALUE"""),0)</f>
        <v>0</v>
      </c>
      <c r="S117" s="24" t="str">
        <f ca="1">IFERROR(__xludf.DUMMYFUNCTION("""COMPUTED_VALUE"""),"Guts")</f>
        <v>Guts</v>
      </c>
      <c r="T117" s="24" t="str">
        <f ca="1">IFERROR(__xludf.DUMMYFUNCTION("""COMPUTED_VALUE"""),"Sheer Force")</f>
        <v>Sheer Force</v>
      </c>
      <c r="U117" s="24" t="str">
        <f ca="1">IFERROR(__xludf.DUMMYFUNCTION("""COMPUTED_VALUE"""),"Iron Fist")</f>
        <v>Iron Fist</v>
      </c>
      <c r="V117" s="25" t="str">
        <f ca="1">IFERROR(__xludf.DUMMYFUNCTION("""COMPUTED_VALUE"""),"Linking Cord")</f>
        <v>Linking Cord</v>
      </c>
      <c r="W117" s="25"/>
      <c r="X117" s="25"/>
      <c r="Y117" s="25" t="str">
        <f ca="1">IFERROR(__xludf.DUMMYFUNCTION("""COMPUTED_VALUE"""),"Gurdurr (evolve)")</f>
        <v>Gurdurr (evolve)</v>
      </c>
    </row>
    <row r="118" spans="1:25" x14ac:dyDescent="0.25">
      <c r="A118" s="15" t="str">
        <f ca="1">IFERROR(__xludf.DUMMYFUNCTION("""COMPUTED_VALUE"""),"Klawf")</f>
        <v>Klawf</v>
      </c>
      <c r="B118" s="16">
        <f ca="1">IFERROR(__xludf.DUMMYFUNCTION("""COMPUTED_VALUE"""),117)</f>
        <v>117</v>
      </c>
      <c r="C118" s="3" t="str">
        <f ca="1">IFERROR(__xludf.DUMMYFUNCTION("""COMPUTED_VALUE"""),"Rock")</f>
        <v>Rock</v>
      </c>
      <c r="D118" s="3"/>
      <c r="E118" s="17">
        <f ca="1">IFERROR(__xludf.DUMMYFUNCTION("""COMPUTED_VALUE"""),70)</f>
        <v>70</v>
      </c>
      <c r="F118" s="17">
        <f ca="1">IFERROR(__xludf.DUMMYFUNCTION("""COMPUTED_VALUE"""),0)</f>
        <v>0</v>
      </c>
      <c r="G118" s="18">
        <f ca="1">IFERROR(__xludf.DUMMYFUNCTION("""COMPUTED_VALUE"""),100)</f>
        <v>100</v>
      </c>
      <c r="H118" s="18">
        <f ca="1">IFERROR(__xludf.DUMMYFUNCTION("""COMPUTED_VALUE"""),0)</f>
        <v>0</v>
      </c>
      <c r="I118" s="19">
        <f ca="1">IFERROR(__xludf.DUMMYFUNCTION("""COMPUTED_VALUE"""),115)</f>
        <v>115</v>
      </c>
      <c r="J118" s="19">
        <f ca="1">IFERROR(__xludf.DUMMYFUNCTION("""COMPUTED_VALUE"""),0)</f>
        <v>0</v>
      </c>
      <c r="K118" s="20">
        <f ca="1">IFERROR(__xludf.DUMMYFUNCTION("""COMPUTED_VALUE"""),35)</f>
        <v>35</v>
      </c>
      <c r="L118" s="20">
        <f ca="1">IFERROR(__xludf.DUMMYFUNCTION("""COMPUTED_VALUE"""),0)</f>
        <v>0</v>
      </c>
      <c r="M118" s="21">
        <f ca="1">IFERROR(__xludf.DUMMYFUNCTION("""COMPUTED_VALUE"""),55)</f>
        <v>55</v>
      </c>
      <c r="N118" s="21">
        <f ca="1">IFERROR(__xludf.DUMMYFUNCTION("""COMPUTED_VALUE"""),0)</f>
        <v>0</v>
      </c>
      <c r="O118" s="22">
        <f ca="1">IFERROR(__xludf.DUMMYFUNCTION("""COMPUTED_VALUE"""),75)</f>
        <v>75</v>
      </c>
      <c r="P118" s="22">
        <f ca="1">IFERROR(__xludf.DUMMYFUNCTION("""COMPUTED_VALUE"""),0)</f>
        <v>0</v>
      </c>
      <c r="Q118" s="23">
        <f ca="1">IFERROR(__xludf.DUMMYFUNCTION("""COMPUTED_VALUE"""),450)</f>
        <v>450</v>
      </c>
      <c r="R118" s="23">
        <f ca="1">IFERROR(__xludf.DUMMYFUNCTION("""COMPUTED_VALUE"""),0)</f>
        <v>0</v>
      </c>
      <c r="S118" s="24" t="str">
        <f ca="1">IFERROR(__xludf.DUMMYFUNCTION("""COMPUTED_VALUE"""),"Anger Shell")</f>
        <v>Anger Shell</v>
      </c>
      <c r="T118" s="24" t="str">
        <f ca="1">IFERROR(__xludf.DUMMYFUNCTION("""COMPUTED_VALUE"""),"Shell Armor")</f>
        <v>Shell Armor</v>
      </c>
      <c r="U118" s="24" t="str">
        <f ca="1">IFERROR(__xludf.DUMMYFUNCTION("""COMPUTED_VALUE"""),"Regenerator")</f>
        <v>Regenerator</v>
      </c>
      <c r="V118" s="25"/>
      <c r="W118" s="25"/>
      <c r="X118" s="25"/>
      <c r="Y118" s="25" t="str">
        <f ca="1">IFERROR(__xludf.DUMMYFUNCTION("""COMPUTED_VALUE"""),"Acrisia Mountains, Palati City (wild)")</f>
        <v>Acrisia Mountains, Palati City (wild)</v>
      </c>
    </row>
    <row r="119" spans="1:25" x14ac:dyDescent="0.25">
      <c r="A119" s="15" t="str">
        <f ca="1">IFERROR(__xludf.DUMMYFUNCTION("""COMPUTED_VALUE"""),"Poliwag")</f>
        <v>Poliwag</v>
      </c>
      <c r="B119" s="16">
        <f ca="1">IFERROR(__xludf.DUMMYFUNCTION("""COMPUTED_VALUE"""),118)</f>
        <v>118</v>
      </c>
      <c r="C119" s="3" t="str">
        <f ca="1">IFERROR(__xludf.DUMMYFUNCTION("""COMPUTED_VALUE"""),"Water")</f>
        <v>Water</v>
      </c>
      <c r="D119" s="3"/>
      <c r="E119" s="17">
        <f ca="1">IFERROR(__xludf.DUMMYFUNCTION("""COMPUTED_VALUE"""),40)</f>
        <v>40</v>
      </c>
      <c r="F119" s="17">
        <f ca="1">IFERROR(__xludf.DUMMYFUNCTION("""COMPUTED_VALUE"""),0)</f>
        <v>0</v>
      </c>
      <c r="G119" s="18">
        <f ca="1">IFERROR(__xludf.DUMMYFUNCTION("""COMPUTED_VALUE"""),50)</f>
        <v>50</v>
      </c>
      <c r="H119" s="18">
        <f ca="1">IFERROR(__xludf.DUMMYFUNCTION("""COMPUTED_VALUE"""),0)</f>
        <v>0</v>
      </c>
      <c r="I119" s="19">
        <f ca="1">IFERROR(__xludf.DUMMYFUNCTION("""COMPUTED_VALUE"""),40)</f>
        <v>40</v>
      </c>
      <c r="J119" s="19">
        <f ca="1">IFERROR(__xludf.DUMMYFUNCTION("""COMPUTED_VALUE"""),0)</f>
        <v>0</v>
      </c>
      <c r="K119" s="20">
        <f ca="1">IFERROR(__xludf.DUMMYFUNCTION("""COMPUTED_VALUE"""),40)</f>
        <v>40</v>
      </c>
      <c r="L119" s="20">
        <f ca="1">IFERROR(__xludf.DUMMYFUNCTION("""COMPUTED_VALUE"""),0)</f>
        <v>0</v>
      </c>
      <c r="M119" s="21">
        <f ca="1">IFERROR(__xludf.DUMMYFUNCTION("""COMPUTED_VALUE"""),40)</f>
        <v>40</v>
      </c>
      <c r="N119" s="21">
        <f ca="1">IFERROR(__xludf.DUMMYFUNCTION("""COMPUTED_VALUE"""),0)</f>
        <v>0</v>
      </c>
      <c r="O119" s="22">
        <f ca="1">IFERROR(__xludf.DUMMYFUNCTION("""COMPUTED_VALUE"""),90)</f>
        <v>90</v>
      </c>
      <c r="P119" s="22">
        <f ca="1">IFERROR(__xludf.DUMMYFUNCTION("""COMPUTED_VALUE"""),0)</f>
        <v>0</v>
      </c>
      <c r="Q119" s="23">
        <f ca="1">IFERROR(__xludf.DUMMYFUNCTION("""COMPUTED_VALUE"""),300)</f>
        <v>300</v>
      </c>
      <c r="R119" s="23">
        <f ca="1">IFERROR(__xludf.DUMMYFUNCTION("""COMPUTED_VALUE"""),0)</f>
        <v>0</v>
      </c>
      <c r="S119" s="24" t="str">
        <f ca="1">IFERROR(__xludf.DUMMYFUNCTION("""COMPUTED_VALUE"""),"Water Absorb")</f>
        <v>Water Absorb</v>
      </c>
      <c r="T119" s="24" t="str">
        <f ca="1">IFERROR(__xludf.DUMMYFUNCTION("""COMPUTED_VALUE"""),"Damp")</f>
        <v>Damp</v>
      </c>
      <c r="U119" s="24" t="str">
        <f ca="1">IFERROR(__xludf.DUMMYFUNCTION("""COMPUTED_VALUE"""),"Swift Swim")</f>
        <v>Swift Swim</v>
      </c>
      <c r="V119" s="25"/>
      <c r="W119" s="25"/>
      <c r="X119" s="25"/>
      <c r="Y119" s="25" t="str">
        <f ca="1">IFERROR(__xludf.DUMMYFUNCTION("""COMPUTED_VALUE"""),"Acrisia City, Wanderer`s Woods (wild) Riverwalk Trail N (OR) Acrisia City, Acrisia Mountains, Wanderer`s Woods, Pythios Town (GR)(fish)")</f>
        <v>Acrisia City, Wanderer`s Woods (wild) Riverwalk Trail N (OR) Acrisia City, Acrisia Mountains, Wanderer`s Woods, Pythios Town (GR)(fish)</v>
      </c>
    </row>
    <row r="120" spans="1:25" x14ac:dyDescent="0.25">
      <c r="A120" s="15" t="str">
        <f ca="1">IFERROR(__xludf.DUMMYFUNCTION("""COMPUTED_VALUE"""),"Poliwhirl")</f>
        <v>Poliwhirl</v>
      </c>
      <c r="B120" s="16">
        <f ca="1">IFERROR(__xludf.DUMMYFUNCTION("""COMPUTED_VALUE"""),119)</f>
        <v>119</v>
      </c>
      <c r="C120" s="3" t="str">
        <f ca="1">IFERROR(__xludf.DUMMYFUNCTION("""COMPUTED_VALUE"""),"Water")</f>
        <v>Water</v>
      </c>
      <c r="D120" s="3"/>
      <c r="E120" s="17">
        <f ca="1">IFERROR(__xludf.DUMMYFUNCTION("""COMPUTED_VALUE"""),65)</f>
        <v>65</v>
      </c>
      <c r="F120" s="17">
        <f ca="1">IFERROR(__xludf.DUMMYFUNCTION("""COMPUTED_VALUE"""),0)</f>
        <v>0</v>
      </c>
      <c r="G120" s="18">
        <f ca="1">IFERROR(__xludf.DUMMYFUNCTION("""COMPUTED_VALUE"""),65)</f>
        <v>65</v>
      </c>
      <c r="H120" s="18">
        <f ca="1">IFERROR(__xludf.DUMMYFUNCTION("""COMPUTED_VALUE"""),0)</f>
        <v>0</v>
      </c>
      <c r="I120" s="19">
        <f ca="1">IFERROR(__xludf.DUMMYFUNCTION("""COMPUTED_VALUE"""),65)</f>
        <v>65</v>
      </c>
      <c r="J120" s="19">
        <f ca="1">IFERROR(__xludf.DUMMYFUNCTION("""COMPUTED_VALUE"""),0)</f>
        <v>0</v>
      </c>
      <c r="K120" s="20">
        <f ca="1">IFERROR(__xludf.DUMMYFUNCTION("""COMPUTED_VALUE"""),50)</f>
        <v>50</v>
      </c>
      <c r="L120" s="20">
        <f ca="1">IFERROR(__xludf.DUMMYFUNCTION("""COMPUTED_VALUE"""),0)</f>
        <v>0</v>
      </c>
      <c r="M120" s="21">
        <f ca="1">IFERROR(__xludf.DUMMYFUNCTION("""COMPUTED_VALUE"""),50)</f>
        <v>50</v>
      </c>
      <c r="N120" s="21">
        <f ca="1">IFERROR(__xludf.DUMMYFUNCTION("""COMPUTED_VALUE"""),0)</f>
        <v>0</v>
      </c>
      <c r="O120" s="22">
        <f ca="1">IFERROR(__xludf.DUMMYFUNCTION("""COMPUTED_VALUE"""),90)</f>
        <v>90</v>
      </c>
      <c r="P120" s="22">
        <f ca="1">IFERROR(__xludf.DUMMYFUNCTION("""COMPUTED_VALUE"""),0)</f>
        <v>0</v>
      </c>
      <c r="Q120" s="23">
        <f ca="1">IFERROR(__xludf.DUMMYFUNCTION("""COMPUTED_VALUE"""),385)</f>
        <v>385</v>
      </c>
      <c r="R120" s="23">
        <f ca="1">IFERROR(__xludf.DUMMYFUNCTION("""COMPUTED_VALUE"""),0)</f>
        <v>0</v>
      </c>
      <c r="S120" s="24" t="str">
        <f ca="1">IFERROR(__xludf.DUMMYFUNCTION("""COMPUTED_VALUE"""),"Water Absorb")</f>
        <v>Water Absorb</v>
      </c>
      <c r="T120" s="24" t="str">
        <f ca="1">IFERROR(__xludf.DUMMYFUNCTION("""COMPUTED_VALUE"""),"Damp")</f>
        <v>Damp</v>
      </c>
      <c r="U120" s="24" t="str">
        <f ca="1">IFERROR(__xludf.DUMMYFUNCTION("""COMPUTED_VALUE"""),"Swift Swim")</f>
        <v>Swift Swim</v>
      </c>
      <c r="V120" s="25" t="str">
        <f ca="1">IFERROR(__xludf.DUMMYFUNCTION("""COMPUTED_VALUE"""),"Lv. 25")</f>
        <v>Lv. 25</v>
      </c>
      <c r="W120" s="25"/>
      <c r="X120" s="25" t="str">
        <f ca="1">IFERROR(__xludf.DUMMYFUNCTION("""COMPUTED_VALUE"""),"King`s Rock")</f>
        <v>King`s Rock</v>
      </c>
      <c r="Y120" s="25" t="str">
        <f ca="1">IFERROR(__xludf.DUMMYFUNCTION("""COMPUTED_VALUE"""),"Pythios Cemetery, Froslass Cavern? (SR)(fish)")</f>
        <v>Pythios Cemetery, Froslass Cavern? (SR)(fish)</v>
      </c>
    </row>
    <row r="121" spans="1:25" x14ac:dyDescent="0.25">
      <c r="A121" s="15" t="str">
        <f ca="1">IFERROR(__xludf.DUMMYFUNCTION("""COMPUTED_VALUE"""),"Poliwrath")</f>
        <v>Poliwrath</v>
      </c>
      <c r="B121" s="16">
        <f ca="1">IFERROR(__xludf.DUMMYFUNCTION("""COMPUTED_VALUE"""),120)</f>
        <v>120</v>
      </c>
      <c r="C121" s="3" t="str">
        <f ca="1">IFERROR(__xludf.DUMMYFUNCTION("""COMPUTED_VALUE"""),"Water")</f>
        <v>Water</v>
      </c>
      <c r="D121" s="3" t="str">
        <f ca="1">IFERROR(__xludf.DUMMYFUNCTION("""COMPUTED_VALUE"""),"Fighting")</f>
        <v>Fighting</v>
      </c>
      <c r="E121" s="17">
        <f ca="1">IFERROR(__xludf.DUMMYFUNCTION("""COMPUTED_VALUE"""),95)</f>
        <v>95</v>
      </c>
      <c r="F121" s="17">
        <f ca="1">IFERROR(__xludf.DUMMYFUNCTION("""COMPUTED_VALUE"""),5)</f>
        <v>5</v>
      </c>
      <c r="G121" s="18">
        <f ca="1">IFERROR(__xludf.DUMMYFUNCTION("""COMPUTED_VALUE"""),110)</f>
        <v>110</v>
      </c>
      <c r="H121" s="18">
        <f ca="1">IFERROR(__xludf.DUMMYFUNCTION("""COMPUTED_VALUE"""),15)</f>
        <v>15</v>
      </c>
      <c r="I121" s="19">
        <f ca="1">IFERROR(__xludf.DUMMYFUNCTION("""COMPUTED_VALUE"""),95)</f>
        <v>95</v>
      </c>
      <c r="J121" s="19">
        <f ca="1">IFERROR(__xludf.DUMMYFUNCTION("""COMPUTED_VALUE"""),0)</f>
        <v>0</v>
      </c>
      <c r="K121" s="20">
        <f ca="1">IFERROR(__xludf.DUMMYFUNCTION("""COMPUTED_VALUE"""),65)</f>
        <v>65</v>
      </c>
      <c r="L121" s="20">
        <f ca="1">IFERROR(__xludf.DUMMYFUNCTION("""COMPUTED_VALUE"""),-5)</f>
        <v>-5</v>
      </c>
      <c r="M121" s="21">
        <f ca="1">IFERROR(__xludf.DUMMYFUNCTION("""COMPUTED_VALUE"""),90)</f>
        <v>90</v>
      </c>
      <c r="N121" s="21">
        <f ca="1">IFERROR(__xludf.DUMMYFUNCTION("""COMPUTED_VALUE"""),0)</f>
        <v>0</v>
      </c>
      <c r="O121" s="22">
        <f ca="1">IFERROR(__xludf.DUMMYFUNCTION("""COMPUTED_VALUE"""),70)</f>
        <v>70</v>
      </c>
      <c r="P121" s="22">
        <f ca="1">IFERROR(__xludf.DUMMYFUNCTION("""COMPUTED_VALUE"""),0)</f>
        <v>0</v>
      </c>
      <c r="Q121" s="23">
        <f ca="1">IFERROR(__xludf.DUMMYFUNCTION("""COMPUTED_VALUE"""),525)</f>
        <v>525</v>
      </c>
      <c r="R121" s="23">
        <f ca="1">IFERROR(__xludf.DUMMYFUNCTION("""COMPUTED_VALUE"""),15)</f>
        <v>15</v>
      </c>
      <c r="S121" s="24" t="str">
        <f ca="1">IFERROR(__xludf.DUMMYFUNCTION("""COMPUTED_VALUE"""),"Water Absorb")</f>
        <v>Water Absorb</v>
      </c>
      <c r="T121" s="24" t="str">
        <f ca="1">IFERROR(__xludf.DUMMYFUNCTION("""COMPUTED_VALUE"""),"Damp")</f>
        <v>Damp</v>
      </c>
      <c r="U121" s="24" t="str">
        <f ca="1">IFERROR(__xludf.DUMMYFUNCTION("""COMPUTED_VALUE"""),"Swift Swim")</f>
        <v>Swift Swim</v>
      </c>
      <c r="V121" s="25" t="str">
        <f ca="1">IFERROR(__xludf.DUMMYFUNCTION("""COMPUTED_VALUE"""),"Water Stone")</f>
        <v>Water Stone</v>
      </c>
      <c r="W121" s="25"/>
      <c r="X121" s="25" t="str">
        <f ca="1">IFERROR(__xludf.DUMMYFUNCTION("""COMPUTED_VALUE"""),"King`s Rock")</f>
        <v>King`s Rock</v>
      </c>
      <c r="Y121" s="25" t="str">
        <f ca="1">IFERROR(__xludf.DUMMYFUNCTION("""COMPUTED_VALUE"""),"Poliwhirl (evolve)")</f>
        <v>Poliwhirl (evolve)</v>
      </c>
    </row>
    <row r="122" spans="1:25" x14ac:dyDescent="0.25">
      <c r="A122" s="15" t="str">
        <f ca="1">IFERROR(__xludf.DUMMYFUNCTION("""COMPUTED_VALUE"""),"Politoed")</f>
        <v>Politoed</v>
      </c>
      <c r="B122" s="16">
        <f ca="1">IFERROR(__xludf.DUMMYFUNCTION("""COMPUTED_VALUE"""),121)</f>
        <v>121</v>
      </c>
      <c r="C122" s="3" t="str">
        <f ca="1">IFERROR(__xludf.DUMMYFUNCTION("""COMPUTED_VALUE"""),"Water")</f>
        <v>Water</v>
      </c>
      <c r="D122" s="3" t="str">
        <f ca="1">IFERROR(__xludf.DUMMYFUNCTION("""COMPUTED_VALUE"""),"Normal")</f>
        <v>Normal</v>
      </c>
      <c r="E122" s="17">
        <f ca="1">IFERROR(__xludf.DUMMYFUNCTION("""COMPUTED_VALUE"""),100)</f>
        <v>100</v>
      </c>
      <c r="F122" s="17">
        <f ca="1">IFERROR(__xludf.DUMMYFUNCTION("""COMPUTED_VALUE"""),10)</f>
        <v>10</v>
      </c>
      <c r="G122" s="18">
        <f ca="1">IFERROR(__xludf.DUMMYFUNCTION("""COMPUTED_VALUE"""),75)</f>
        <v>75</v>
      </c>
      <c r="H122" s="18">
        <f ca="1">IFERROR(__xludf.DUMMYFUNCTION("""COMPUTED_VALUE"""),0)</f>
        <v>0</v>
      </c>
      <c r="I122" s="19">
        <f ca="1">IFERROR(__xludf.DUMMYFUNCTION("""COMPUTED_VALUE"""),75)</f>
        <v>75</v>
      </c>
      <c r="J122" s="19">
        <f ca="1">IFERROR(__xludf.DUMMYFUNCTION("""COMPUTED_VALUE"""),0)</f>
        <v>0</v>
      </c>
      <c r="K122" s="20">
        <f ca="1">IFERROR(__xludf.DUMMYFUNCTION("""COMPUTED_VALUE"""),95)</f>
        <v>95</v>
      </c>
      <c r="L122" s="20">
        <f ca="1">IFERROR(__xludf.DUMMYFUNCTION("""COMPUTED_VALUE"""),5)</f>
        <v>5</v>
      </c>
      <c r="M122" s="21">
        <f ca="1">IFERROR(__xludf.DUMMYFUNCTION("""COMPUTED_VALUE"""),100)</f>
        <v>100</v>
      </c>
      <c r="N122" s="21">
        <f ca="1">IFERROR(__xludf.DUMMYFUNCTION("""COMPUTED_VALUE"""),0)</f>
        <v>0</v>
      </c>
      <c r="O122" s="22">
        <f ca="1">IFERROR(__xludf.DUMMYFUNCTION("""COMPUTED_VALUE"""),70)</f>
        <v>70</v>
      </c>
      <c r="P122" s="22">
        <f ca="1">IFERROR(__xludf.DUMMYFUNCTION("""COMPUTED_VALUE"""),0)</f>
        <v>0</v>
      </c>
      <c r="Q122" s="23">
        <f ca="1">IFERROR(__xludf.DUMMYFUNCTION("""COMPUTED_VALUE"""),515)</f>
        <v>515</v>
      </c>
      <c r="R122" s="23">
        <f ca="1">IFERROR(__xludf.DUMMYFUNCTION("""COMPUTED_VALUE"""),15)</f>
        <v>15</v>
      </c>
      <c r="S122" s="24" t="str">
        <f ca="1">IFERROR(__xludf.DUMMYFUNCTION("""COMPUTED_VALUE"""),"Water Absorb")</f>
        <v>Water Absorb</v>
      </c>
      <c r="T122" s="24" t="str">
        <f ca="1">IFERROR(__xludf.DUMMYFUNCTION("""COMPUTED_VALUE"""),"Damp")</f>
        <v>Damp</v>
      </c>
      <c r="U122" s="24" t="str">
        <f ca="1">IFERROR(__xludf.DUMMYFUNCTION("""COMPUTED_VALUE"""),"Drizzle")</f>
        <v>Drizzle</v>
      </c>
      <c r="V122" s="25" t="str">
        <f ca="1">IFERROR(__xludf.DUMMYFUNCTION("""COMPUTED_VALUE"""),"King's Rock")</f>
        <v>King's Rock</v>
      </c>
      <c r="W122" s="25"/>
      <c r="X122" s="25" t="str">
        <f ca="1">IFERROR(__xludf.DUMMYFUNCTION("""COMPUTED_VALUE"""),"King`s Rock")</f>
        <v>King`s Rock</v>
      </c>
      <c r="Y122" s="25" t="str">
        <f ca="1">IFERROR(__xludf.DUMMYFUNCTION("""COMPUTED_VALUE"""),"Poliwhirl (evolve)")</f>
        <v>Poliwhirl (evolve)</v>
      </c>
    </row>
    <row r="123" spans="1:25" x14ac:dyDescent="0.25">
      <c r="A123" s="15" t="str">
        <f ca="1">IFERROR(__xludf.DUMMYFUNCTION("""COMPUTED_VALUE"""),"Pumpkaboo")</f>
        <v>Pumpkaboo</v>
      </c>
      <c r="B123" s="16">
        <f ca="1">IFERROR(__xludf.DUMMYFUNCTION("""COMPUTED_VALUE"""),122)</f>
        <v>122</v>
      </c>
      <c r="C123" s="3" t="str">
        <f ca="1">IFERROR(__xludf.DUMMYFUNCTION("""COMPUTED_VALUE"""),"Ghost")</f>
        <v>Ghost</v>
      </c>
      <c r="D123" s="3" t="str">
        <f ca="1">IFERROR(__xludf.DUMMYFUNCTION("""COMPUTED_VALUE"""),"Grass")</f>
        <v>Grass</v>
      </c>
      <c r="E123" s="17">
        <f ca="1">IFERROR(__xludf.DUMMYFUNCTION("""COMPUTED_VALUE"""),49)</f>
        <v>49</v>
      </c>
      <c r="F123" s="17">
        <f ca="1">IFERROR(__xludf.DUMMYFUNCTION("""COMPUTED_VALUE"""),0)</f>
        <v>0</v>
      </c>
      <c r="G123" s="18">
        <f ca="1">IFERROR(__xludf.DUMMYFUNCTION("""COMPUTED_VALUE"""),66)</f>
        <v>66</v>
      </c>
      <c r="H123" s="18">
        <f ca="1">IFERROR(__xludf.DUMMYFUNCTION("""COMPUTED_VALUE"""),0)</f>
        <v>0</v>
      </c>
      <c r="I123" s="19">
        <f ca="1">IFERROR(__xludf.DUMMYFUNCTION("""COMPUTED_VALUE"""),75)</f>
        <v>75</v>
      </c>
      <c r="J123" s="19">
        <f ca="1">IFERROR(__xludf.DUMMYFUNCTION("""COMPUTED_VALUE"""),5)</f>
        <v>5</v>
      </c>
      <c r="K123" s="20">
        <f ca="1">IFERROR(__xludf.DUMMYFUNCTION("""COMPUTED_VALUE"""),44)</f>
        <v>44</v>
      </c>
      <c r="L123" s="20">
        <f ca="1">IFERROR(__xludf.DUMMYFUNCTION("""COMPUTED_VALUE"""),0)</f>
        <v>0</v>
      </c>
      <c r="M123" s="21">
        <f ca="1">IFERROR(__xludf.DUMMYFUNCTION("""COMPUTED_VALUE"""),55)</f>
        <v>55</v>
      </c>
      <c r="N123" s="21">
        <f ca="1">IFERROR(__xludf.DUMMYFUNCTION("""COMPUTED_VALUE"""),0)</f>
        <v>0</v>
      </c>
      <c r="O123" s="22">
        <f ca="1">IFERROR(__xludf.DUMMYFUNCTION("""COMPUTED_VALUE"""),51)</f>
        <v>51</v>
      </c>
      <c r="P123" s="22">
        <f ca="1">IFERROR(__xludf.DUMMYFUNCTION("""COMPUTED_VALUE"""),0)</f>
        <v>0</v>
      </c>
      <c r="Q123" s="23">
        <f ca="1">IFERROR(__xludf.DUMMYFUNCTION("""COMPUTED_VALUE"""),340)</f>
        <v>340</v>
      </c>
      <c r="R123" s="23">
        <f ca="1">IFERROR(__xludf.DUMMYFUNCTION("""COMPUTED_VALUE"""),5)</f>
        <v>5</v>
      </c>
      <c r="S123" s="24" t="str">
        <f ca="1">IFERROR(__xludf.DUMMYFUNCTION("""COMPUTED_VALUE"""),"Tangling Hair")</f>
        <v>Tangling Hair</v>
      </c>
      <c r="T123" s="24" t="str">
        <f ca="1">IFERROR(__xludf.DUMMYFUNCTION("""COMPUTED_VALUE"""),"Frisk")</f>
        <v>Frisk</v>
      </c>
      <c r="U123" s="24" t="str">
        <f ca="1">IFERROR(__xludf.DUMMYFUNCTION("""COMPUTED_VALUE"""),"Insomnia")</f>
        <v>Insomnia</v>
      </c>
      <c r="V123" s="25"/>
      <c r="W123" s="25"/>
      <c r="X123" s="25"/>
      <c r="Y123" s="25" t="str">
        <f ca="1">IFERROR(__xludf.DUMMYFUNCTION("""COMPUTED_VALUE"""),"Riverwalk Trail S, Wanderer`s Woods, The Nyx Trails (wild)")</f>
        <v>Riverwalk Trail S, Wanderer`s Woods, The Nyx Trails (wild)</v>
      </c>
    </row>
    <row r="124" spans="1:25" x14ac:dyDescent="0.25">
      <c r="A124" s="15" t="str">
        <f ca="1">IFERROR(__xludf.DUMMYFUNCTION("""COMPUTED_VALUE"""),"Gourgeist")</f>
        <v>Gourgeist</v>
      </c>
      <c r="B124" s="16">
        <f ca="1">IFERROR(__xludf.DUMMYFUNCTION("""COMPUTED_VALUE"""),123)</f>
        <v>123</v>
      </c>
      <c r="C124" s="3" t="str">
        <f ca="1">IFERROR(__xludf.DUMMYFUNCTION("""COMPUTED_VALUE"""),"Ghost")</f>
        <v>Ghost</v>
      </c>
      <c r="D124" s="3" t="str">
        <f ca="1">IFERROR(__xludf.DUMMYFUNCTION("""COMPUTED_VALUE"""),"Grass")</f>
        <v>Grass</v>
      </c>
      <c r="E124" s="17">
        <f ca="1">IFERROR(__xludf.DUMMYFUNCTION("""COMPUTED_VALUE"""),75)</f>
        <v>75</v>
      </c>
      <c r="F124" s="17">
        <f ca="1">IFERROR(__xludf.DUMMYFUNCTION("""COMPUTED_VALUE"""),10)</f>
        <v>10</v>
      </c>
      <c r="G124" s="18">
        <f ca="1">IFERROR(__xludf.DUMMYFUNCTION("""COMPUTED_VALUE"""),90)</f>
        <v>90</v>
      </c>
      <c r="H124" s="18">
        <f ca="1">IFERROR(__xludf.DUMMYFUNCTION("""COMPUTED_VALUE"""),0)</f>
        <v>0</v>
      </c>
      <c r="I124" s="19">
        <f ca="1">IFERROR(__xludf.DUMMYFUNCTION("""COMPUTED_VALUE"""),122)</f>
        <v>122</v>
      </c>
      <c r="J124" s="19">
        <f ca="1">IFERROR(__xludf.DUMMYFUNCTION("""COMPUTED_VALUE"""),0)</f>
        <v>0</v>
      </c>
      <c r="K124" s="20">
        <f ca="1">IFERROR(__xludf.DUMMYFUNCTION("""COMPUTED_VALUE"""),58)</f>
        <v>58</v>
      </c>
      <c r="L124" s="20">
        <f ca="1">IFERROR(__xludf.DUMMYFUNCTION("""COMPUTED_VALUE"""),0)</f>
        <v>0</v>
      </c>
      <c r="M124" s="21">
        <f ca="1">IFERROR(__xludf.DUMMYFUNCTION("""COMPUTED_VALUE"""),75)</f>
        <v>75</v>
      </c>
      <c r="N124" s="21">
        <f ca="1">IFERROR(__xludf.DUMMYFUNCTION("""COMPUTED_VALUE"""),0)</f>
        <v>0</v>
      </c>
      <c r="O124" s="22">
        <f ca="1">IFERROR(__xludf.DUMMYFUNCTION("""COMPUTED_VALUE"""),84)</f>
        <v>84</v>
      </c>
      <c r="P124" s="22">
        <f ca="1">IFERROR(__xludf.DUMMYFUNCTION("""COMPUTED_VALUE"""),0)</f>
        <v>0</v>
      </c>
      <c r="Q124" s="23">
        <f ca="1">IFERROR(__xludf.DUMMYFUNCTION("""COMPUTED_VALUE"""),504)</f>
        <v>504</v>
      </c>
      <c r="R124" s="23">
        <f ca="1">IFERROR(__xludf.DUMMYFUNCTION("""COMPUTED_VALUE"""),10)</f>
        <v>10</v>
      </c>
      <c r="S124" s="24" t="str">
        <f ca="1">IFERROR(__xludf.DUMMYFUNCTION("""COMPUTED_VALUE"""),"Tangling Hair")</f>
        <v>Tangling Hair</v>
      </c>
      <c r="T124" s="24" t="str">
        <f ca="1">IFERROR(__xludf.DUMMYFUNCTION("""COMPUTED_VALUE"""),"Frisk")</f>
        <v>Frisk</v>
      </c>
      <c r="U124" s="24" t="str">
        <f ca="1">IFERROR(__xludf.DUMMYFUNCTION("""COMPUTED_VALUE"""),"Insomnia")</f>
        <v>Insomnia</v>
      </c>
      <c r="V124" s="25" t="str">
        <f ca="1">IFERROR(__xludf.DUMMYFUNCTION("""COMPUTED_VALUE"""),"Linking Cord")</f>
        <v>Linking Cord</v>
      </c>
      <c r="W124" s="25"/>
      <c r="X124" s="25"/>
      <c r="Y124" s="25" t="str">
        <f ca="1">IFERROR(__xludf.DUMMYFUNCTION("""COMPUTED_VALUE"""),"Pumpkaboo (evolve)")</f>
        <v>Pumpkaboo (evolve)</v>
      </c>
    </row>
    <row r="125" spans="1:25" x14ac:dyDescent="0.25">
      <c r="A125" s="15" t="str">
        <f ca="1">IFERROR(__xludf.DUMMYFUNCTION("""COMPUTED_VALUE"""),"Shroomish")</f>
        <v>Shroomish</v>
      </c>
      <c r="B125" s="16">
        <f ca="1">IFERROR(__xludf.DUMMYFUNCTION("""COMPUTED_VALUE"""),124)</f>
        <v>124</v>
      </c>
      <c r="C125" s="3" t="str">
        <f ca="1">IFERROR(__xludf.DUMMYFUNCTION("""COMPUTED_VALUE"""),"Grass")</f>
        <v>Grass</v>
      </c>
      <c r="D125" s="3"/>
      <c r="E125" s="17">
        <f ca="1">IFERROR(__xludf.DUMMYFUNCTION("""COMPUTED_VALUE"""),60)</f>
        <v>60</v>
      </c>
      <c r="F125" s="17">
        <f ca="1">IFERROR(__xludf.DUMMYFUNCTION("""COMPUTED_VALUE"""),0)</f>
        <v>0</v>
      </c>
      <c r="G125" s="18">
        <f ca="1">IFERROR(__xludf.DUMMYFUNCTION("""COMPUTED_VALUE"""),40)</f>
        <v>40</v>
      </c>
      <c r="H125" s="18">
        <f ca="1">IFERROR(__xludf.DUMMYFUNCTION("""COMPUTED_VALUE"""),0)</f>
        <v>0</v>
      </c>
      <c r="I125" s="19">
        <f ca="1">IFERROR(__xludf.DUMMYFUNCTION("""COMPUTED_VALUE"""),60)</f>
        <v>60</v>
      </c>
      <c r="J125" s="19">
        <f ca="1">IFERROR(__xludf.DUMMYFUNCTION("""COMPUTED_VALUE"""),0)</f>
        <v>0</v>
      </c>
      <c r="K125" s="20">
        <f ca="1">IFERROR(__xludf.DUMMYFUNCTION("""COMPUTED_VALUE"""),40)</f>
        <v>40</v>
      </c>
      <c r="L125" s="20">
        <f ca="1">IFERROR(__xludf.DUMMYFUNCTION("""COMPUTED_VALUE"""),0)</f>
        <v>0</v>
      </c>
      <c r="M125" s="21">
        <f ca="1">IFERROR(__xludf.DUMMYFUNCTION("""COMPUTED_VALUE"""),60)</f>
        <v>60</v>
      </c>
      <c r="N125" s="21">
        <f ca="1">IFERROR(__xludf.DUMMYFUNCTION("""COMPUTED_VALUE"""),0)</f>
        <v>0</v>
      </c>
      <c r="O125" s="22">
        <f ca="1">IFERROR(__xludf.DUMMYFUNCTION("""COMPUTED_VALUE"""),35)</f>
        <v>35</v>
      </c>
      <c r="P125" s="22">
        <f ca="1">IFERROR(__xludf.DUMMYFUNCTION("""COMPUTED_VALUE"""),0)</f>
        <v>0</v>
      </c>
      <c r="Q125" s="23">
        <f ca="1">IFERROR(__xludf.DUMMYFUNCTION("""COMPUTED_VALUE"""),295)</f>
        <v>295</v>
      </c>
      <c r="R125" s="23">
        <f ca="1">IFERROR(__xludf.DUMMYFUNCTION("""COMPUTED_VALUE"""),0)</f>
        <v>0</v>
      </c>
      <c r="S125" s="24" t="str">
        <f ca="1">IFERROR(__xludf.DUMMYFUNCTION("""COMPUTED_VALUE"""),"Effect Spore")</f>
        <v>Effect Spore</v>
      </c>
      <c r="T125" s="24" t="str">
        <f ca="1">IFERROR(__xludf.DUMMYFUNCTION("""COMPUTED_VALUE"""),"Poison Heal")</f>
        <v>Poison Heal</v>
      </c>
      <c r="U125" s="24" t="str">
        <f ca="1">IFERROR(__xludf.DUMMYFUNCTION("""COMPUTED_VALUE"""),"Quick Feet")</f>
        <v>Quick Feet</v>
      </c>
      <c r="V125" s="25"/>
      <c r="W125" s="25" t="str">
        <f ca="1">IFERROR(__xludf.DUMMYFUNCTION("""COMPUTED_VALUE"""),"Tiny Mushroom")</f>
        <v>Tiny Mushroom</v>
      </c>
      <c r="X125" s="25" t="str">
        <f ca="1">IFERROR(__xludf.DUMMYFUNCTION("""COMPUTED_VALUE"""),"Big Mushroom")</f>
        <v>Big Mushroom</v>
      </c>
      <c r="Y125" s="25" t="str">
        <f ca="1">IFERROR(__xludf.DUMMYFUNCTION("""COMPUTED_VALUE"""),"Acrisia City, Wanderer`s Woods (wild)")</f>
        <v>Acrisia City, Wanderer`s Woods (wild)</v>
      </c>
    </row>
    <row r="126" spans="1:25" x14ac:dyDescent="0.25">
      <c r="A126" s="15" t="str">
        <f ca="1">IFERROR(__xludf.DUMMYFUNCTION("""COMPUTED_VALUE"""),"Breloom")</f>
        <v>Breloom</v>
      </c>
      <c r="B126" s="16">
        <f ca="1">IFERROR(__xludf.DUMMYFUNCTION("""COMPUTED_VALUE"""),125)</f>
        <v>125</v>
      </c>
      <c r="C126" s="3" t="str">
        <f ca="1">IFERROR(__xludf.DUMMYFUNCTION("""COMPUTED_VALUE"""),"Grass")</f>
        <v>Grass</v>
      </c>
      <c r="D126" s="3" t="str">
        <f ca="1">IFERROR(__xludf.DUMMYFUNCTION("""COMPUTED_VALUE"""),"Fighting")</f>
        <v>Fighting</v>
      </c>
      <c r="E126" s="17">
        <f ca="1">IFERROR(__xludf.DUMMYFUNCTION("""COMPUTED_VALUE"""),60)</f>
        <v>60</v>
      </c>
      <c r="F126" s="17">
        <f ca="1">IFERROR(__xludf.DUMMYFUNCTION("""COMPUTED_VALUE"""),0)</f>
        <v>0</v>
      </c>
      <c r="G126" s="18">
        <f ca="1">IFERROR(__xludf.DUMMYFUNCTION("""COMPUTED_VALUE"""),130)</f>
        <v>130</v>
      </c>
      <c r="H126" s="18">
        <f ca="1">IFERROR(__xludf.DUMMYFUNCTION("""COMPUTED_VALUE"""),0)</f>
        <v>0</v>
      </c>
      <c r="I126" s="19">
        <f ca="1">IFERROR(__xludf.DUMMYFUNCTION("""COMPUTED_VALUE"""),80)</f>
        <v>80</v>
      </c>
      <c r="J126" s="19">
        <f ca="1">IFERROR(__xludf.DUMMYFUNCTION("""COMPUTED_VALUE"""),0)</f>
        <v>0</v>
      </c>
      <c r="K126" s="20">
        <f ca="1">IFERROR(__xludf.DUMMYFUNCTION("""COMPUTED_VALUE"""),55)</f>
        <v>55</v>
      </c>
      <c r="L126" s="20">
        <f ca="1">IFERROR(__xludf.DUMMYFUNCTION("""COMPUTED_VALUE"""),-5)</f>
        <v>-5</v>
      </c>
      <c r="M126" s="21">
        <f ca="1">IFERROR(__xludf.DUMMYFUNCTION("""COMPUTED_VALUE"""),66)</f>
        <v>66</v>
      </c>
      <c r="N126" s="21">
        <f ca="1">IFERROR(__xludf.DUMMYFUNCTION("""COMPUTED_VALUE"""),6)</f>
        <v>6</v>
      </c>
      <c r="O126" s="22">
        <f ca="1">IFERROR(__xludf.DUMMYFUNCTION("""COMPUTED_VALUE"""),79)</f>
        <v>79</v>
      </c>
      <c r="P126" s="22">
        <f ca="1">IFERROR(__xludf.DUMMYFUNCTION("""COMPUTED_VALUE"""),9)</f>
        <v>9</v>
      </c>
      <c r="Q126" s="23">
        <f ca="1">IFERROR(__xludf.DUMMYFUNCTION("""COMPUTED_VALUE"""),470)</f>
        <v>470</v>
      </c>
      <c r="R126" s="23">
        <f ca="1">IFERROR(__xludf.DUMMYFUNCTION("""COMPUTED_VALUE"""),10)</f>
        <v>10</v>
      </c>
      <c r="S126" s="24" t="str">
        <f ca="1">IFERROR(__xludf.DUMMYFUNCTION("""COMPUTED_VALUE"""),"Effect Spore")</f>
        <v>Effect Spore</v>
      </c>
      <c r="T126" s="24" t="str">
        <f ca="1">IFERROR(__xludf.DUMMYFUNCTION("""COMPUTED_VALUE"""),"Poison Heal")</f>
        <v>Poison Heal</v>
      </c>
      <c r="U126" s="24" t="str">
        <f ca="1">IFERROR(__xludf.DUMMYFUNCTION("""COMPUTED_VALUE"""),"Technician")</f>
        <v>Technician</v>
      </c>
      <c r="V126" s="25" t="str">
        <f ca="1">IFERROR(__xludf.DUMMYFUNCTION("""COMPUTED_VALUE"""),"Lv. 23")</f>
        <v>Lv. 23</v>
      </c>
      <c r="W126" s="25" t="str">
        <f ca="1">IFERROR(__xludf.DUMMYFUNCTION("""COMPUTED_VALUE"""),"Tiny Mushroom")</f>
        <v>Tiny Mushroom</v>
      </c>
      <c r="X126" s="25" t="str">
        <f ca="1">IFERROR(__xludf.DUMMYFUNCTION("""COMPUTED_VALUE"""),"Big Mushroom")</f>
        <v>Big Mushroom</v>
      </c>
      <c r="Y126" s="25" t="str">
        <f ca="1">IFERROR(__xludf.DUMMYFUNCTION("""COMPUTED_VALUE"""),"The Nyx Trails (wild)")</f>
        <v>The Nyx Trails (wild)</v>
      </c>
    </row>
    <row r="127" spans="1:25" x14ac:dyDescent="0.25">
      <c r="A127" s="15" t="str">
        <f ca="1">IFERROR(__xludf.DUMMYFUNCTION("""COMPUTED_VALUE"""),"Heracross")</f>
        <v>Heracross</v>
      </c>
      <c r="B127" s="16">
        <f ca="1">IFERROR(__xludf.DUMMYFUNCTION("""COMPUTED_VALUE"""),126)</f>
        <v>126</v>
      </c>
      <c r="C127" s="3" t="str">
        <f ca="1">IFERROR(__xludf.DUMMYFUNCTION("""COMPUTED_VALUE"""),"Bug")</f>
        <v>Bug</v>
      </c>
      <c r="D127" s="3" t="str">
        <f ca="1">IFERROR(__xludf.DUMMYFUNCTION("""COMPUTED_VALUE"""),"Fighting")</f>
        <v>Fighting</v>
      </c>
      <c r="E127" s="17">
        <f ca="1">IFERROR(__xludf.DUMMYFUNCTION("""COMPUTED_VALUE"""),85)</f>
        <v>85</v>
      </c>
      <c r="F127" s="17">
        <f ca="1">IFERROR(__xludf.DUMMYFUNCTION("""COMPUTED_VALUE"""),5)</f>
        <v>5</v>
      </c>
      <c r="G127" s="18">
        <f ca="1">IFERROR(__xludf.DUMMYFUNCTION("""COMPUTED_VALUE"""),125)</f>
        <v>125</v>
      </c>
      <c r="H127" s="18">
        <f ca="1">IFERROR(__xludf.DUMMYFUNCTION("""COMPUTED_VALUE"""),0)</f>
        <v>0</v>
      </c>
      <c r="I127" s="19">
        <f ca="1">IFERROR(__xludf.DUMMYFUNCTION("""COMPUTED_VALUE"""),95)</f>
        <v>95</v>
      </c>
      <c r="J127" s="19">
        <f ca="1">IFERROR(__xludf.DUMMYFUNCTION("""COMPUTED_VALUE"""),20)</f>
        <v>20</v>
      </c>
      <c r="K127" s="20">
        <f ca="1">IFERROR(__xludf.DUMMYFUNCTION("""COMPUTED_VALUE"""),40)</f>
        <v>40</v>
      </c>
      <c r="L127" s="20">
        <f ca="1">IFERROR(__xludf.DUMMYFUNCTION("""COMPUTED_VALUE"""),0)</f>
        <v>0</v>
      </c>
      <c r="M127" s="21">
        <f ca="1">IFERROR(__xludf.DUMMYFUNCTION("""COMPUTED_VALUE"""),95)</f>
        <v>95</v>
      </c>
      <c r="N127" s="21">
        <f ca="1">IFERROR(__xludf.DUMMYFUNCTION("""COMPUTED_VALUE"""),0)</f>
        <v>0</v>
      </c>
      <c r="O127" s="22">
        <f ca="1">IFERROR(__xludf.DUMMYFUNCTION("""COMPUTED_VALUE"""),80)</f>
        <v>80</v>
      </c>
      <c r="P127" s="22">
        <f ca="1">IFERROR(__xludf.DUMMYFUNCTION("""COMPUTED_VALUE"""),-5)</f>
        <v>-5</v>
      </c>
      <c r="Q127" s="23">
        <f ca="1">IFERROR(__xludf.DUMMYFUNCTION("""COMPUTED_VALUE"""),520)</f>
        <v>520</v>
      </c>
      <c r="R127" s="23">
        <f ca="1">IFERROR(__xludf.DUMMYFUNCTION("""COMPUTED_VALUE"""),20)</f>
        <v>20</v>
      </c>
      <c r="S127" s="24" t="str">
        <f ca="1">IFERROR(__xludf.DUMMYFUNCTION("""COMPUTED_VALUE"""),"Swarm")</f>
        <v>Swarm</v>
      </c>
      <c r="T127" s="24" t="str">
        <f ca="1">IFERROR(__xludf.DUMMYFUNCTION("""COMPUTED_VALUE"""),"Guts")</f>
        <v>Guts</v>
      </c>
      <c r="U127" s="24" t="str">
        <f ca="1">IFERROR(__xludf.DUMMYFUNCTION("""COMPUTED_VALUE"""),"Moxie")</f>
        <v>Moxie</v>
      </c>
      <c r="V127" s="25"/>
      <c r="W127" s="25"/>
      <c r="X127" s="25"/>
      <c r="Y127" s="25" t="str">
        <f ca="1">IFERROR(__xludf.DUMMYFUNCTION("""COMPUTED_VALUE"""),"Wanderer`s Woods, Sea of Asteri (wild)")</f>
        <v>Wanderer`s Woods, Sea of Asteri (wild)</v>
      </c>
    </row>
    <row r="128" spans="1:25" x14ac:dyDescent="0.25">
      <c r="A128" s="15" t="str">
        <f ca="1">IFERROR(__xludf.DUMMYFUNCTION("""COMPUTED_VALUE"""),"Shuppet")</f>
        <v>Shuppet</v>
      </c>
      <c r="B128" s="16">
        <f ca="1">IFERROR(__xludf.DUMMYFUNCTION("""COMPUTED_VALUE"""),127)</f>
        <v>127</v>
      </c>
      <c r="C128" s="3" t="str">
        <f ca="1">IFERROR(__xludf.DUMMYFUNCTION("""COMPUTED_VALUE"""),"Ghost")</f>
        <v>Ghost</v>
      </c>
      <c r="D128" s="3" t="str">
        <f ca="1">IFERROR(__xludf.DUMMYFUNCTION("""COMPUTED_VALUE"""),"Normal")</f>
        <v>Normal</v>
      </c>
      <c r="E128" s="17">
        <f ca="1">IFERROR(__xludf.DUMMYFUNCTION("""COMPUTED_VALUE"""),54)</f>
        <v>54</v>
      </c>
      <c r="F128" s="17">
        <f ca="1">IFERROR(__xludf.DUMMYFUNCTION("""COMPUTED_VALUE"""),10)</f>
        <v>10</v>
      </c>
      <c r="G128" s="18">
        <f ca="1">IFERROR(__xludf.DUMMYFUNCTION("""COMPUTED_VALUE"""),75)</f>
        <v>75</v>
      </c>
      <c r="H128" s="18">
        <f ca="1">IFERROR(__xludf.DUMMYFUNCTION("""COMPUTED_VALUE"""),0)</f>
        <v>0</v>
      </c>
      <c r="I128" s="19">
        <f ca="1">IFERROR(__xludf.DUMMYFUNCTION("""COMPUTED_VALUE"""),45)</f>
        <v>45</v>
      </c>
      <c r="J128" s="19">
        <f ca="1">IFERROR(__xludf.DUMMYFUNCTION("""COMPUTED_VALUE"""),10)</f>
        <v>10</v>
      </c>
      <c r="K128" s="20">
        <f ca="1">IFERROR(__xludf.DUMMYFUNCTION("""COMPUTED_VALUE"""),63)</f>
        <v>63</v>
      </c>
      <c r="L128" s="20">
        <f ca="1">IFERROR(__xludf.DUMMYFUNCTION("""COMPUTED_VALUE"""),0)</f>
        <v>0</v>
      </c>
      <c r="M128" s="21">
        <f ca="1">IFERROR(__xludf.DUMMYFUNCTION("""COMPUTED_VALUE"""),43)</f>
        <v>43</v>
      </c>
      <c r="N128" s="21">
        <f ca="1">IFERROR(__xludf.DUMMYFUNCTION("""COMPUTED_VALUE"""),10)</f>
        <v>10</v>
      </c>
      <c r="O128" s="22">
        <f ca="1">IFERROR(__xludf.DUMMYFUNCTION("""COMPUTED_VALUE"""),45)</f>
        <v>45</v>
      </c>
      <c r="P128" s="22">
        <f ca="1">IFERROR(__xludf.DUMMYFUNCTION("""COMPUTED_VALUE"""),0)</f>
        <v>0</v>
      </c>
      <c r="Q128" s="23">
        <f ca="1">IFERROR(__xludf.DUMMYFUNCTION("""COMPUTED_VALUE"""),325)</f>
        <v>325</v>
      </c>
      <c r="R128" s="23">
        <f ca="1">IFERROR(__xludf.DUMMYFUNCTION("""COMPUTED_VALUE"""),30)</f>
        <v>30</v>
      </c>
      <c r="S128" s="24" t="str">
        <f ca="1">IFERROR(__xludf.DUMMYFUNCTION("""COMPUTED_VALUE"""),"Insomnia")</f>
        <v>Insomnia</v>
      </c>
      <c r="T128" s="24" t="str">
        <f ca="1">IFERROR(__xludf.DUMMYFUNCTION("""COMPUTED_VALUE"""),"Frisk")</f>
        <v>Frisk</v>
      </c>
      <c r="U128" s="24" t="str">
        <f ca="1">IFERROR(__xludf.DUMMYFUNCTION("""COMPUTED_VALUE"""),"Cursed Body")</f>
        <v>Cursed Body</v>
      </c>
      <c r="V128" s="25"/>
      <c r="W128" s="25"/>
      <c r="X128" s="25" t="str">
        <f ca="1">IFERROR(__xludf.DUMMYFUNCTION("""COMPUTED_VALUE"""),"Spell Tag")</f>
        <v>Spell Tag</v>
      </c>
      <c r="Y128" s="25" t="str">
        <f ca="1">IFERROR(__xludf.DUMMYFUNCTION("""COMPUTED_VALUE"""),"Wanderer`s Woods, Pythios Cemetery, The Nyx Trails (wild)")</f>
        <v>Wanderer`s Woods, Pythios Cemetery, The Nyx Trails (wild)</v>
      </c>
    </row>
    <row r="129" spans="1:25" x14ac:dyDescent="0.25">
      <c r="A129" s="15" t="str">
        <f ca="1">IFERROR(__xludf.DUMMYFUNCTION("""COMPUTED_VALUE"""),"Banette")</f>
        <v>Banette</v>
      </c>
      <c r="B129" s="16">
        <f ca="1">IFERROR(__xludf.DUMMYFUNCTION("""COMPUTED_VALUE"""),128)</f>
        <v>128</v>
      </c>
      <c r="C129" s="3" t="str">
        <f ca="1">IFERROR(__xludf.DUMMYFUNCTION("""COMPUTED_VALUE"""),"Ghost")</f>
        <v>Ghost</v>
      </c>
      <c r="D129" s="3" t="str">
        <f ca="1">IFERROR(__xludf.DUMMYFUNCTION("""COMPUTED_VALUE"""),"Normal")</f>
        <v>Normal</v>
      </c>
      <c r="E129" s="17">
        <f ca="1">IFERROR(__xludf.DUMMYFUNCTION("""COMPUTED_VALUE"""),74)</f>
        <v>74</v>
      </c>
      <c r="F129" s="17">
        <f ca="1">IFERROR(__xludf.DUMMYFUNCTION("""COMPUTED_VALUE"""),10)</f>
        <v>10</v>
      </c>
      <c r="G129" s="18">
        <f ca="1">IFERROR(__xludf.DUMMYFUNCTION("""COMPUTED_VALUE"""),115)</f>
        <v>115</v>
      </c>
      <c r="H129" s="18">
        <f ca="1">IFERROR(__xludf.DUMMYFUNCTION("""COMPUTED_VALUE"""),0)</f>
        <v>0</v>
      </c>
      <c r="I129" s="19">
        <f ca="1">IFERROR(__xludf.DUMMYFUNCTION("""COMPUTED_VALUE"""),75)</f>
        <v>75</v>
      </c>
      <c r="J129" s="19">
        <f ca="1">IFERROR(__xludf.DUMMYFUNCTION("""COMPUTED_VALUE"""),10)</f>
        <v>10</v>
      </c>
      <c r="K129" s="20">
        <f ca="1">IFERROR(__xludf.DUMMYFUNCTION("""COMPUTED_VALUE"""),53)</f>
        <v>53</v>
      </c>
      <c r="L129" s="20">
        <f ca="1">IFERROR(__xludf.DUMMYFUNCTION("""COMPUTED_VALUE"""),-30)</f>
        <v>-30</v>
      </c>
      <c r="M129" s="21">
        <f ca="1">IFERROR(__xludf.DUMMYFUNCTION("""COMPUTED_VALUE"""),73)</f>
        <v>73</v>
      </c>
      <c r="N129" s="21">
        <f ca="1">IFERROR(__xludf.DUMMYFUNCTION("""COMPUTED_VALUE"""),10)</f>
        <v>10</v>
      </c>
      <c r="O129" s="22">
        <f ca="1">IFERROR(__xludf.DUMMYFUNCTION("""COMPUTED_VALUE"""),75)</f>
        <v>75</v>
      </c>
      <c r="P129" s="22">
        <f ca="1">IFERROR(__xludf.DUMMYFUNCTION("""COMPUTED_VALUE"""),10)</f>
        <v>10</v>
      </c>
      <c r="Q129" s="23">
        <f ca="1">IFERROR(__xludf.DUMMYFUNCTION("""COMPUTED_VALUE"""),465)</f>
        <v>465</v>
      </c>
      <c r="R129" s="23">
        <f ca="1">IFERROR(__xludf.DUMMYFUNCTION("""COMPUTED_VALUE"""),10)</f>
        <v>10</v>
      </c>
      <c r="S129" s="24" t="str">
        <f ca="1">IFERROR(__xludf.DUMMYFUNCTION("""COMPUTED_VALUE"""),"Insomnia")</f>
        <v>Insomnia</v>
      </c>
      <c r="T129" s="24" t="str">
        <f ca="1">IFERROR(__xludf.DUMMYFUNCTION("""COMPUTED_VALUE"""),"Frisk")</f>
        <v>Frisk</v>
      </c>
      <c r="U129" s="24" t="str">
        <f ca="1">IFERROR(__xludf.DUMMYFUNCTION("""COMPUTED_VALUE"""),"Cursed Body")</f>
        <v>Cursed Body</v>
      </c>
      <c r="V129" s="25" t="str">
        <f ca="1">IFERROR(__xludf.DUMMYFUNCTION("""COMPUTED_VALUE"""),"Lv. 28")</f>
        <v>Lv. 28</v>
      </c>
      <c r="W129" s="25"/>
      <c r="X129" s="25" t="str">
        <f ca="1">IFERROR(__xludf.DUMMYFUNCTION("""COMPUTED_VALUE"""),"Spell Tag")</f>
        <v>Spell Tag</v>
      </c>
      <c r="Y129" s="25" t="str">
        <f ca="1">IFERROR(__xludf.DUMMYFUNCTION("""COMPUTED_VALUE"""),"The Nyx Trails (wild)")</f>
        <v>The Nyx Trails (wild)</v>
      </c>
    </row>
    <row r="130" spans="1:25" x14ac:dyDescent="0.25">
      <c r="A130" s="15" t="str">
        <f ca="1">IFERROR(__xludf.DUMMYFUNCTION("""COMPUTED_VALUE"""),"Aipom")</f>
        <v>Aipom</v>
      </c>
      <c r="B130" s="16">
        <f ca="1">IFERROR(__xludf.DUMMYFUNCTION("""COMPUTED_VALUE"""),129)</f>
        <v>129</v>
      </c>
      <c r="C130" s="3" t="str">
        <f ca="1">IFERROR(__xludf.DUMMYFUNCTION("""COMPUTED_VALUE"""),"Normal")</f>
        <v>Normal</v>
      </c>
      <c r="D130" s="3"/>
      <c r="E130" s="17">
        <f ca="1">IFERROR(__xludf.DUMMYFUNCTION("""COMPUTED_VALUE"""),55)</f>
        <v>55</v>
      </c>
      <c r="F130" s="17">
        <f ca="1">IFERROR(__xludf.DUMMYFUNCTION("""COMPUTED_VALUE"""),0)</f>
        <v>0</v>
      </c>
      <c r="G130" s="18">
        <f ca="1">IFERROR(__xludf.DUMMYFUNCTION("""COMPUTED_VALUE"""),70)</f>
        <v>70</v>
      </c>
      <c r="H130" s="18">
        <f ca="1">IFERROR(__xludf.DUMMYFUNCTION("""COMPUTED_VALUE"""),0)</f>
        <v>0</v>
      </c>
      <c r="I130" s="19">
        <f ca="1">IFERROR(__xludf.DUMMYFUNCTION("""COMPUTED_VALUE"""),55)</f>
        <v>55</v>
      </c>
      <c r="J130" s="19">
        <f ca="1">IFERROR(__xludf.DUMMYFUNCTION("""COMPUTED_VALUE"""),0)</f>
        <v>0</v>
      </c>
      <c r="K130" s="20">
        <f ca="1">IFERROR(__xludf.DUMMYFUNCTION("""COMPUTED_VALUE"""),40)</f>
        <v>40</v>
      </c>
      <c r="L130" s="20">
        <f ca="1">IFERROR(__xludf.DUMMYFUNCTION("""COMPUTED_VALUE"""),0)</f>
        <v>0</v>
      </c>
      <c r="M130" s="21">
        <f ca="1">IFERROR(__xludf.DUMMYFUNCTION("""COMPUTED_VALUE"""),55)</f>
        <v>55</v>
      </c>
      <c r="N130" s="21">
        <f ca="1">IFERROR(__xludf.DUMMYFUNCTION("""COMPUTED_VALUE"""),0)</f>
        <v>0</v>
      </c>
      <c r="O130" s="22">
        <f ca="1">IFERROR(__xludf.DUMMYFUNCTION("""COMPUTED_VALUE"""),85)</f>
        <v>85</v>
      </c>
      <c r="P130" s="22">
        <f ca="1">IFERROR(__xludf.DUMMYFUNCTION("""COMPUTED_VALUE"""),0)</f>
        <v>0</v>
      </c>
      <c r="Q130" s="23">
        <f ca="1">IFERROR(__xludf.DUMMYFUNCTION("""COMPUTED_VALUE"""),360)</f>
        <v>360</v>
      </c>
      <c r="R130" s="23">
        <f ca="1">IFERROR(__xludf.DUMMYFUNCTION("""COMPUTED_VALUE"""),0)</f>
        <v>0</v>
      </c>
      <c r="S130" s="24" t="str">
        <f ca="1">IFERROR(__xludf.DUMMYFUNCTION("""COMPUTED_VALUE"""),"Technician")</f>
        <v>Technician</v>
      </c>
      <c r="T130" s="24" t="str">
        <f ca="1">IFERROR(__xludf.DUMMYFUNCTION("""COMPUTED_VALUE"""),"Pickup")</f>
        <v>Pickup</v>
      </c>
      <c r="U130" s="24" t="str">
        <f ca="1">IFERROR(__xludf.DUMMYFUNCTION("""COMPUTED_VALUE"""),"Skill Link")</f>
        <v>Skill Link</v>
      </c>
      <c r="V130" s="25"/>
      <c r="W130" s="25"/>
      <c r="X130" s="25"/>
      <c r="Y130" s="25" t="str">
        <f ca="1">IFERROR(__xludf.DUMMYFUNCTION("""COMPUTED_VALUE"""),"Wanderer`s Woods (wild)")</f>
        <v>Wanderer`s Woods (wild)</v>
      </c>
    </row>
    <row r="131" spans="1:25" x14ac:dyDescent="0.25">
      <c r="A131" s="15" t="str">
        <f ca="1">IFERROR(__xludf.DUMMYFUNCTION("""COMPUTED_VALUE"""),"Ambipom")</f>
        <v>Ambipom</v>
      </c>
      <c r="B131" s="16">
        <f ca="1">IFERROR(__xludf.DUMMYFUNCTION("""COMPUTED_VALUE"""),130)</f>
        <v>130</v>
      </c>
      <c r="C131" s="3" t="str">
        <f ca="1">IFERROR(__xludf.DUMMYFUNCTION("""COMPUTED_VALUE"""),"Normal")</f>
        <v>Normal</v>
      </c>
      <c r="D131" s="3"/>
      <c r="E131" s="17">
        <f ca="1">IFERROR(__xludf.DUMMYFUNCTION("""COMPUTED_VALUE"""),75)</f>
        <v>75</v>
      </c>
      <c r="F131" s="17">
        <f ca="1">IFERROR(__xludf.DUMMYFUNCTION("""COMPUTED_VALUE"""),0)</f>
        <v>0</v>
      </c>
      <c r="G131" s="18">
        <f ca="1">IFERROR(__xludf.DUMMYFUNCTION("""COMPUTED_VALUE"""),100)</f>
        <v>100</v>
      </c>
      <c r="H131" s="18">
        <f ca="1">IFERROR(__xludf.DUMMYFUNCTION("""COMPUTED_VALUE"""),0)</f>
        <v>0</v>
      </c>
      <c r="I131" s="19">
        <f ca="1">IFERROR(__xludf.DUMMYFUNCTION("""COMPUTED_VALUE"""),66)</f>
        <v>66</v>
      </c>
      <c r="J131" s="19">
        <f ca="1">IFERROR(__xludf.DUMMYFUNCTION("""COMPUTED_VALUE"""),0)</f>
        <v>0</v>
      </c>
      <c r="K131" s="20">
        <f ca="1">IFERROR(__xludf.DUMMYFUNCTION("""COMPUTED_VALUE"""),60)</f>
        <v>60</v>
      </c>
      <c r="L131" s="20">
        <f ca="1">IFERROR(__xludf.DUMMYFUNCTION("""COMPUTED_VALUE"""),0)</f>
        <v>0</v>
      </c>
      <c r="M131" s="21">
        <f ca="1">IFERROR(__xludf.DUMMYFUNCTION("""COMPUTED_VALUE"""),66)</f>
        <v>66</v>
      </c>
      <c r="N131" s="21">
        <f ca="1">IFERROR(__xludf.DUMMYFUNCTION("""COMPUTED_VALUE"""),0)</f>
        <v>0</v>
      </c>
      <c r="O131" s="22">
        <f ca="1">IFERROR(__xludf.DUMMYFUNCTION("""COMPUTED_VALUE"""),115)</f>
        <v>115</v>
      </c>
      <c r="P131" s="22">
        <f ca="1">IFERROR(__xludf.DUMMYFUNCTION("""COMPUTED_VALUE"""),0)</f>
        <v>0</v>
      </c>
      <c r="Q131" s="23">
        <f ca="1">IFERROR(__xludf.DUMMYFUNCTION("""COMPUTED_VALUE"""),482)</f>
        <v>482</v>
      </c>
      <c r="R131" s="23">
        <f ca="1">IFERROR(__xludf.DUMMYFUNCTION("""COMPUTED_VALUE"""),0)</f>
        <v>0</v>
      </c>
      <c r="S131" s="24" t="str">
        <f ca="1">IFERROR(__xludf.DUMMYFUNCTION("""COMPUTED_VALUE"""),"Technician")</f>
        <v>Technician</v>
      </c>
      <c r="T131" s="24" t="str">
        <f ca="1">IFERROR(__xludf.DUMMYFUNCTION("""COMPUTED_VALUE"""),"Pickup")</f>
        <v>Pickup</v>
      </c>
      <c r="U131" s="24" t="str">
        <f ca="1">IFERROR(__xludf.DUMMYFUNCTION("""COMPUTED_VALUE"""),"Skill Link")</f>
        <v>Skill Link</v>
      </c>
      <c r="V131" s="25" t="str">
        <f ca="1">IFERROR(__xludf.DUMMYFUNCTION("""COMPUTED_VALUE"""),"Lv. knows Double Hit")</f>
        <v>Lv. knows Double Hit</v>
      </c>
      <c r="W131" s="25"/>
      <c r="X131" s="25"/>
      <c r="Y131" s="25" t="str">
        <f ca="1">IFERROR(__xludf.DUMMYFUNCTION("""COMPUTED_VALUE"""),"Aipom (evolve)")</f>
        <v>Aipom (evolve)</v>
      </c>
    </row>
    <row r="132" spans="1:25" x14ac:dyDescent="0.25">
      <c r="A132" s="15" t="str">
        <f ca="1">IFERROR(__xludf.DUMMYFUNCTION("""COMPUTED_VALUE"""),"Bounsweet")</f>
        <v>Bounsweet</v>
      </c>
      <c r="B132" s="16">
        <f ca="1">IFERROR(__xludf.DUMMYFUNCTION("""COMPUTED_VALUE"""),131)</f>
        <v>131</v>
      </c>
      <c r="C132" s="3" t="str">
        <f ca="1">IFERROR(__xludf.DUMMYFUNCTION("""COMPUTED_VALUE"""),"Grass")</f>
        <v>Grass</v>
      </c>
      <c r="D132" s="3"/>
      <c r="E132" s="17">
        <f ca="1">IFERROR(__xludf.DUMMYFUNCTION("""COMPUTED_VALUE"""),42)</f>
        <v>42</v>
      </c>
      <c r="F132" s="17">
        <f ca="1">IFERROR(__xludf.DUMMYFUNCTION("""COMPUTED_VALUE"""),0)</f>
        <v>0</v>
      </c>
      <c r="G132" s="18">
        <f ca="1">IFERROR(__xludf.DUMMYFUNCTION("""COMPUTED_VALUE"""),30)</f>
        <v>30</v>
      </c>
      <c r="H132" s="18">
        <f ca="1">IFERROR(__xludf.DUMMYFUNCTION("""COMPUTED_VALUE"""),0)</f>
        <v>0</v>
      </c>
      <c r="I132" s="19">
        <f ca="1">IFERROR(__xludf.DUMMYFUNCTION("""COMPUTED_VALUE"""),38)</f>
        <v>38</v>
      </c>
      <c r="J132" s="19">
        <f ca="1">IFERROR(__xludf.DUMMYFUNCTION("""COMPUTED_VALUE"""),0)</f>
        <v>0</v>
      </c>
      <c r="K132" s="20">
        <f ca="1">IFERROR(__xludf.DUMMYFUNCTION("""COMPUTED_VALUE"""),30)</f>
        <v>30</v>
      </c>
      <c r="L132" s="20">
        <f ca="1">IFERROR(__xludf.DUMMYFUNCTION("""COMPUTED_VALUE"""),0)</f>
        <v>0</v>
      </c>
      <c r="M132" s="21">
        <f ca="1">IFERROR(__xludf.DUMMYFUNCTION("""COMPUTED_VALUE"""),38)</f>
        <v>38</v>
      </c>
      <c r="N132" s="21">
        <f ca="1">IFERROR(__xludf.DUMMYFUNCTION("""COMPUTED_VALUE"""),0)</f>
        <v>0</v>
      </c>
      <c r="O132" s="22">
        <f ca="1">IFERROR(__xludf.DUMMYFUNCTION("""COMPUTED_VALUE"""),32)</f>
        <v>32</v>
      </c>
      <c r="P132" s="22">
        <f ca="1">IFERROR(__xludf.DUMMYFUNCTION("""COMPUTED_VALUE"""),0)</f>
        <v>0</v>
      </c>
      <c r="Q132" s="23">
        <f ca="1">IFERROR(__xludf.DUMMYFUNCTION("""COMPUTED_VALUE"""),210)</f>
        <v>210</v>
      </c>
      <c r="R132" s="23">
        <f ca="1">IFERROR(__xludf.DUMMYFUNCTION("""COMPUTED_VALUE"""),0)</f>
        <v>0</v>
      </c>
      <c r="S132" s="24" t="str">
        <f ca="1">IFERROR(__xludf.DUMMYFUNCTION("""COMPUTED_VALUE"""),"Leaf Guard")</f>
        <v>Leaf Guard</v>
      </c>
      <c r="T132" s="24" t="str">
        <f ca="1">IFERROR(__xludf.DUMMYFUNCTION("""COMPUTED_VALUE"""),"Oblivious")</f>
        <v>Oblivious</v>
      </c>
      <c r="U132" s="24" t="str">
        <f ca="1">IFERROR(__xludf.DUMMYFUNCTION("""COMPUTED_VALUE"""),"Sweet Veil")</f>
        <v>Sweet Veil</v>
      </c>
      <c r="V132" s="25"/>
      <c r="W132" s="25"/>
      <c r="X132" s="25" t="str">
        <f ca="1">IFERROR(__xludf.DUMMYFUNCTION("""COMPUTED_VALUE"""),"Grassy Seed")</f>
        <v>Grassy Seed</v>
      </c>
      <c r="Y132" s="25" t="str">
        <f ca="1">IFERROR(__xludf.DUMMYFUNCTION("""COMPUTED_VALUE"""),"Jusmail Town, Riverwalk Trail S (wild)")</f>
        <v>Jusmail Town, Riverwalk Trail S (wild)</v>
      </c>
    </row>
    <row r="133" spans="1:25" x14ac:dyDescent="0.25">
      <c r="A133" s="15" t="str">
        <f ca="1">IFERROR(__xludf.DUMMYFUNCTION("""COMPUTED_VALUE"""),"Steenee")</f>
        <v>Steenee</v>
      </c>
      <c r="B133" s="16">
        <f ca="1">IFERROR(__xludf.DUMMYFUNCTION("""COMPUTED_VALUE"""),132)</f>
        <v>132</v>
      </c>
      <c r="C133" s="3" t="str">
        <f ca="1">IFERROR(__xludf.DUMMYFUNCTION("""COMPUTED_VALUE"""),"Grass")</f>
        <v>Grass</v>
      </c>
      <c r="D133" s="3"/>
      <c r="E133" s="17">
        <f ca="1">IFERROR(__xludf.DUMMYFUNCTION("""COMPUTED_VALUE"""),52)</f>
        <v>52</v>
      </c>
      <c r="F133" s="17">
        <f ca="1">IFERROR(__xludf.DUMMYFUNCTION("""COMPUTED_VALUE"""),0)</f>
        <v>0</v>
      </c>
      <c r="G133" s="18">
        <f ca="1">IFERROR(__xludf.DUMMYFUNCTION("""COMPUTED_VALUE"""),45)</f>
        <v>45</v>
      </c>
      <c r="H133" s="18">
        <f ca="1">IFERROR(__xludf.DUMMYFUNCTION("""COMPUTED_VALUE"""),5)</f>
        <v>5</v>
      </c>
      <c r="I133" s="19">
        <f ca="1">IFERROR(__xludf.DUMMYFUNCTION("""COMPUTED_VALUE"""),48)</f>
        <v>48</v>
      </c>
      <c r="J133" s="19">
        <f ca="1">IFERROR(__xludf.DUMMYFUNCTION("""COMPUTED_VALUE"""),0)</f>
        <v>0</v>
      </c>
      <c r="K133" s="20">
        <f ca="1">IFERROR(__xludf.DUMMYFUNCTION("""COMPUTED_VALUE"""),40)</f>
        <v>40</v>
      </c>
      <c r="L133" s="20">
        <f ca="1">IFERROR(__xludf.DUMMYFUNCTION("""COMPUTED_VALUE"""),0)</f>
        <v>0</v>
      </c>
      <c r="M133" s="21">
        <f ca="1">IFERROR(__xludf.DUMMYFUNCTION("""COMPUTED_VALUE"""),48)</f>
        <v>48</v>
      </c>
      <c r="N133" s="21">
        <f ca="1">IFERROR(__xludf.DUMMYFUNCTION("""COMPUTED_VALUE"""),0)</f>
        <v>0</v>
      </c>
      <c r="O133" s="22">
        <f ca="1">IFERROR(__xludf.DUMMYFUNCTION("""COMPUTED_VALUE"""),62)</f>
        <v>62</v>
      </c>
      <c r="P133" s="22">
        <f ca="1">IFERROR(__xludf.DUMMYFUNCTION("""COMPUTED_VALUE"""),0)</f>
        <v>0</v>
      </c>
      <c r="Q133" s="23">
        <f ca="1">IFERROR(__xludf.DUMMYFUNCTION("""COMPUTED_VALUE"""),295)</f>
        <v>295</v>
      </c>
      <c r="R133" s="23">
        <f ca="1">IFERROR(__xludf.DUMMYFUNCTION("""COMPUTED_VALUE"""),5)</f>
        <v>5</v>
      </c>
      <c r="S133" s="24" t="str">
        <f ca="1">IFERROR(__xludf.DUMMYFUNCTION("""COMPUTED_VALUE"""),"Leaf Guard")</f>
        <v>Leaf Guard</v>
      </c>
      <c r="T133" s="24" t="str">
        <f ca="1">IFERROR(__xludf.DUMMYFUNCTION("""COMPUTED_VALUE"""),"Oblivious")</f>
        <v>Oblivious</v>
      </c>
      <c r="U133" s="24" t="str">
        <f ca="1">IFERROR(__xludf.DUMMYFUNCTION("""COMPUTED_VALUE"""),"Sweet Veil")</f>
        <v>Sweet Veil</v>
      </c>
      <c r="V133" s="25" t="str">
        <f ca="1">IFERROR(__xludf.DUMMYFUNCTION("""COMPUTED_VALUE"""),"Lv. 18")</f>
        <v>Lv. 18</v>
      </c>
      <c r="W133" s="25"/>
      <c r="X133" s="25" t="str">
        <f ca="1">IFERROR(__xludf.DUMMYFUNCTION("""COMPUTED_VALUE"""),"Grassy Seed")</f>
        <v>Grassy Seed</v>
      </c>
      <c r="Y133" s="25" t="str">
        <f ca="1">IFERROR(__xludf.DUMMYFUNCTION("""COMPUTED_VALUE"""),"Myrrini Island (wild)")</f>
        <v>Myrrini Island (wild)</v>
      </c>
    </row>
    <row r="134" spans="1:25" x14ac:dyDescent="0.25">
      <c r="A134" s="15" t="str">
        <f ca="1">IFERROR(__xludf.DUMMYFUNCTION("""COMPUTED_VALUE"""),"Tsareena")</f>
        <v>Tsareena</v>
      </c>
      <c r="B134" s="16">
        <f ca="1">IFERROR(__xludf.DUMMYFUNCTION("""COMPUTED_VALUE"""),133)</f>
        <v>133</v>
      </c>
      <c r="C134" s="3" t="str">
        <f ca="1">IFERROR(__xludf.DUMMYFUNCTION("""COMPUTED_VALUE"""),"Grass")</f>
        <v>Grass</v>
      </c>
      <c r="D134" s="3"/>
      <c r="E134" s="17">
        <f ca="1">IFERROR(__xludf.DUMMYFUNCTION("""COMPUTED_VALUE"""),72)</f>
        <v>72</v>
      </c>
      <c r="F134" s="17">
        <f ca="1">IFERROR(__xludf.DUMMYFUNCTION("""COMPUTED_VALUE"""),0)</f>
        <v>0</v>
      </c>
      <c r="G134" s="18">
        <f ca="1">IFERROR(__xludf.DUMMYFUNCTION("""COMPUTED_VALUE"""),120)</f>
        <v>120</v>
      </c>
      <c r="H134" s="18">
        <f ca="1">IFERROR(__xludf.DUMMYFUNCTION("""COMPUTED_VALUE"""),0)</f>
        <v>0</v>
      </c>
      <c r="I134" s="19">
        <f ca="1">IFERROR(__xludf.DUMMYFUNCTION("""COMPUTED_VALUE"""),98)</f>
        <v>98</v>
      </c>
      <c r="J134" s="19">
        <f ca="1">IFERROR(__xludf.DUMMYFUNCTION("""COMPUTED_VALUE"""),0)</f>
        <v>0</v>
      </c>
      <c r="K134" s="20">
        <f ca="1">IFERROR(__xludf.DUMMYFUNCTION("""COMPUTED_VALUE"""),45)</f>
        <v>45</v>
      </c>
      <c r="L134" s="20">
        <f ca="1">IFERROR(__xludf.DUMMYFUNCTION("""COMPUTED_VALUE"""),-5)</f>
        <v>-5</v>
      </c>
      <c r="M134" s="21">
        <f ca="1">IFERROR(__xludf.DUMMYFUNCTION("""COMPUTED_VALUE"""),98)</f>
        <v>98</v>
      </c>
      <c r="N134" s="21">
        <f ca="1">IFERROR(__xludf.DUMMYFUNCTION("""COMPUTED_VALUE"""),0)</f>
        <v>0</v>
      </c>
      <c r="O134" s="22">
        <f ca="1">IFERROR(__xludf.DUMMYFUNCTION("""COMPUTED_VALUE"""),97)</f>
        <v>97</v>
      </c>
      <c r="P134" s="22">
        <f ca="1">IFERROR(__xludf.DUMMYFUNCTION("""COMPUTED_VALUE"""),25)</f>
        <v>25</v>
      </c>
      <c r="Q134" s="23">
        <f ca="1">IFERROR(__xludf.DUMMYFUNCTION("""COMPUTED_VALUE"""),530)</f>
        <v>530</v>
      </c>
      <c r="R134" s="23">
        <f ca="1">IFERROR(__xludf.DUMMYFUNCTION("""COMPUTED_VALUE"""),20)</f>
        <v>20</v>
      </c>
      <c r="S134" s="24" t="str">
        <f ca="1">IFERROR(__xludf.DUMMYFUNCTION("""COMPUTED_VALUE"""),"Leaf Guard")</f>
        <v>Leaf Guard</v>
      </c>
      <c r="T134" s="24" t="str">
        <f ca="1">IFERROR(__xludf.DUMMYFUNCTION("""COMPUTED_VALUE"""),"Queenly Majesty")</f>
        <v>Queenly Majesty</v>
      </c>
      <c r="U134" s="24" t="str">
        <f ca="1">IFERROR(__xludf.DUMMYFUNCTION("""COMPUTED_VALUE"""),"Strong Legs")</f>
        <v>Strong Legs</v>
      </c>
      <c r="V134" s="25" t="str">
        <f ca="1">IFERROR(__xludf.DUMMYFUNCTION("""COMPUTED_VALUE"""),"Lv. knows Stomp")</f>
        <v>Lv. knows Stomp</v>
      </c>
      <c r="W134" s="25"/>
      <c r="X134" s="25" t="str">
        <f ca="1">IFERROR(__xludf.DUMMYFUNCTION("""COMPUTED_VALUE"""),"Grassy Seed")</f>
        <v>Grassy Seed</v>
      </c>
      <c r="Y134" s="25" t="str">
        <f ca="1">IFERROR(__xludf.DUMMYFUNCTION("""COMPUTED_VALUE"""),"Steenee (evolve)")</f>
        <v>Steenee (evolve)</v>
      </c>
    </row>
    <row r="135" spans="1:25" x14ac:dyDescent="0.25">
      <c r="A135" s="15" t="str">
        <f ca="1">IFERROR(__xludf.DUMMYFUNCTION("""COMPUTED_VALUE"""),"Wooper")</f>
        <v>Wooper</v>
      </c>
      <c r="B135" s="16">
        <f ca="1">IFERROR(__xludf.DUMMYFUNCTION("""COMPUTED_VALUE"""),134)</f>
        <v>134</v>
      </c>
      <c r="C135" s="3" t="str">
        <f ca="1">IFERROR(__xludf.DUMMYFUNCTION("""COMPUTED_VALUE"""),"Water")</f>
        <v>Water</v>
      </c>
      <c r="D135" s="3" t="str">
        <f ca="1">IFERROR(__xludf.DUMMYFUNCTION("""COMPUTED_VALUE"""),"Ground")</f>
        <v>Ground</v>
      </c>
      <c r="E135" s="17">
        <f ca="1">IFERROR(__xludf.DUMMYFUNCTION("""COMPUTED_VALUE"""),60)</f>
        <v>60</v>
      </c>
      <c r="F135" s="17">
        <f ca="1">IFERROR(__xludf.DUMMYFUNCTION("""COMPUTED_VALUE"""),5)</f>
        <v>5</v>
      </c>
      <c r="G135" s="18">
        <f ca="1">IFERROR(__xludf.DUMMYFUNCTION("""COMPUTED_VALUE"""),45)</f>
        <v>45</v>
      </c>
      <c r="H135" s="18">
        <f ca="1">IFERROR(__xludf.DUMMYFUNCTION("""COMPUTED_VALUE"""),0)</f>
        <v>0</v>
      </c>
      <c r="I135" s="19">
        <f ca="1">IFERROR(__xludf.DUMMYFUNCTION("""COMPUTED_VALUE"""),45)</f>
        <v>45</v>
      </c>
      <c r="J135" s="19">
        <f ca="1">IFERROR(__xludf.DUMMYFUNCTION("""COMPUTED_VALUE"""),0)</f>
        <v>0</v>
      </c>
      <c r="K135" s="20">
        <f ca="1">IFERROR(__xludf.DUMMYFUNCTION("""COMPUTED_VALUE"""),25)</f>
        <v>25</v>
      </c>
      <c r="L135" s="20">
        <f ca="1">IFERROR(__xludf.DUMMYFUNCTION("""COMPUTED_VALUE"""),0)</f>
        <v>0</v>
      </c>
      <c r="M135" s="21">
        <f ca="1">IFERROR(__xludf.DUMMYFUNCTION("""COMPUTED_VALUE"""),25)</f>
        <v>25</v>
      </c>
      <c r="N135" s="21">
        <f ca="1">IFERROR(__xludf.DUMMYFUNCTION("""COMPUTED_VALUE"""),0)</f>
        <v>0</v>
      </c>
      <c r="O135" s="22">
        <f ca="1">IFERROR(__xludf.DUMMYFUNCTION("""COMPUTED_VALUE"""),15)</f>
        <v>15</v>
      </c>
      <c r="P135" s="22">
        <f ca="1">IFERROR(__xludf.DUMMYFUNCTION("""COMPUTED_VALUE"""),0)</f>
        <v>0</v>
      </c>
      <c r="Q135" s="23">
        <f ca="1">IFERROR(__xludf.DUMMYFUNCTION("""COMPUTED_VALUE"""),215)</f>
        <v>215</v>
      </c>
      <c r="R135" s="23">
        <f ca="1">IFERROR(__xludf.DUMMYFUNCTION("""COMPUTED_VALUE"""),5)</f>
        <v>5</v>
      </c>
      <c r="S135" s="24" t="str">
        <f ca="1">IFERROR(__xludf.DUMMYFUNCTION("""COMPUTED_VALUE"""),"Damp")</f>
        <v>Damp</v>
      </c>
      <c r="T135" s="24" t="str">
        <f ca="1">IFERROR(__xludf.DUMMYFUNCTION("""COMPUTED_VALUE"""),"Water Absorb")</f>
        <v>Water Absorb</v>
      </c>
      <c r="U135" s="24" t="str">
        <f ca="1">IFERROR(__xludf.DUMMYFUNCTION("""COMPUTED_VALUE"""),"Unaware")</f>
        <v>Unaware</v>
      </c>
      <c r="V135" s="25"/>
      <c r="W135" s="25"/>
      <c r="X135" s="25"/>
      <c r="Y135" s="25" t="str">
        <f ca="1">IFERROR(__xludf.DUMMYFUNCTION("""COMPUTED_VALUE"""),"Riverwalk Trail S, Wanderer`s Woods (wild) Acrisia City, Acrisia Mountains, Wanderer`s Woods (GR)(fish)")</f>
        <v>Riverwalk Trail S, Wanderer`s Woods (wild) Acrisia City, Acrisia Mountains, Wanderer`s Woods (GR)(fish)</v>
      </c>
    </row>
    <row r="136" spans="1:25" x14ac:dyDescent="0.25">
      <c r="A136" s="15" t="str">
        <f ca="1">IFERROR(__xludf.DUMMYFUNCTION("""COMPUTED_VALUE"""),"Quagsire")</f>
        <v>Quagsire</v>
      </c>
      <c r="B136" s="16">
        <f ca="1">IFERROR(__xludf.DUMMYFUNCTION("""COMPUTED_VALUE"""),135)</f>
        <v>135</v>
      </c>
      <c r="C136" s="3" t="str">
        <f ca="1">IFERROR(__xludf.DUMMYFUNCTION("""COMPUTED_VALUE"""),"Water")</f>
        <v>Water</v>
      </c>
      <c r="D136" s="3" t="str">
        <f ca="1">IFERROR(__xludf.DUMMYFUNCTION("""COMPUTED_VALUE"""),"Ground")</f>
        <v>Ground</v>
      </c>
      <c r="E136" s="17">
        <f ca="1">IFERROR(__xludf.DUMMYFUNCTION("""COMPUTED_VALUE"""),115)</f>
        <v>115</v>
      </c>
      <c r="F136" s="17">
        <f ca="1">IFERROR(__xludf.DUMMYFUNCTION("""COMPUTED_VALUE"""),20)</f>
        <v>20</v>
      </c>
      <c r="G136" s="18">
        <f ca="1">IFERROR(__xludf.DUMMYFUNCTION("""COMPUTED_VALUE"""),85)</f>
        <v>85</v>
      </c>
      <c r="H136" s="18">
        <f ca="1">IFERROR(__xludf.DUMMYFUNCTION("""COMPUTED_VALUE"""),0)</f>
        <v>0</v>
      </c>
      <c r="I136" s="19">
        <f ca="1">IFERROR(__xludf.DUMMYFUNCTION("""COMPUTED_VALUE"""),85)</f>
        <v>85</v>
      </c>
      <c r="J136" s="19">
        <f ca="1">IFERROR(__xludf.DUMMYFUNCTION("""COMPUTED_VALUE"""),0)</f>
        <v>0</v>
      </c>
      <c r="K136" s="20">
        <f ca="1">IFERROR(__xludf.DUMMYFUNCTION("""COMPUTED_VALUE"""),65)</f>
        <v>65</v>
      </c>
      <c r="L136" s="20">
        <f ca="1">IFERROR(__xludf.DUMMYFUNCTION("""COMPUTED_VALUE"""),0)</f>
        <v>0</v>
      </c>
      <c r="M136" s="21">
        <f ca="1">IFERROR(__xludf.DUMMYFUNCTION("""COMPUTED_VALUE"""),65)</f>
        <v>65</v>
      </c>
      <c r="N136" s="21">
        <f ca="1">IFERROR(__xludf.DUMMYFUNCTION("""COMPUTED_VALUE"""),0)</f>
        <v>0</v>
      </c>
      <c r="O136" s="22">
        <f ca="1">IFERROR(__xludf.DUMMYFUNCTION("""COMPUTED_VALUE"""),35)</f>
        <v>35</v>
      </c>
      <c r="P136" s="22">
        <f ca="1">IFERROR(__xludf.DUMMYFUNCTION("""COMPUTED_VALUE"""),0)</f>
        <v>0</v>
      </c>
      <c r="Q136" s="23">
        <f ca="1">IFERROR(__xludf.DUMMYFUNCTION("""COMPUTED_VALUE"""),450)</f>
        <v>450</v>
      </c>
      <c r="R136" s="23">
        <f ca="1">IFERROR(__xludf.DUMMYFUNCTION("""COMPUTED_VALUE"""),20)</f>
        <v>20</v>
      </c>
      <c r="S136" s="24" t="str">
        <f ca="1">IFERROR(__xludf.DUMMYFUNCTION("""COMPUTED_VALUE"""),"Damp")</f>
        <v>Damp</v>
      </c>
      <c r="T136" s="24" t="str">
        <f ca="1">IFERROR(__xludf.DUMMYFUNCTION("""COMPUTED_VALUE"""),"Water Absorb")</f>
        <v>Water Absorb</v>
      </c>
      <c r="U136" s="24" t="str">
        <f ca="1">IFERROR(__xludf.DUMMYFUNCTION("""COMPUTED_VALUE"""),"Unaware")</f>
        <v>Unaware</v>
      </c>
      <c r="V136" s="25" t="str">
        <f ca="1">IFERROR(__xludf.DUMMYFUNCTION("""COMPUTED_VALUE"""),"Lv. 20")</f>
        <v>Lv. 20</v>
      </c>
      <c r="W136" s="25"/>
      <c r="X136" s="25"/>
      <c r="Y136" s="25" t="str">
        <f ca="1">IFERROR(__xludf.DUMMYFUNCTION("""COMPUTED_VALUE"""),"Fresco Isles, Palati City (wild)")</f>
        <v>Fresco Isles, Palati City (wild)</v>
      </c>
    </row>
    <row r="137" spans="1:25" x14ac:dyDescent="0.25">
      <c r="A137" s="15" t="str">
        <f ca="1">IFERROR(__xludf.DUMMYFUNCTION("""COMPUTED_VALUE"""),"Clodsire")</f>
        <v>Clodsire</v>
      </c>
      <c r="B137" s="16">
        <f ca="1">IFERROR(__xludf.DUMMYFUNCTION("""COMPUTED_VALUE"""),136)</f>
        <v>136</v>
      </c>
      <c r="C137" s="3" t="str">
        <f ca="1">IFERROR(__xludf.DUMMYFUNCTION("""COMPUTED_VALUE"""),"Poison")</f>
        <v>Poison</v>
      </c>
      <c r="D137" s="3" t="str">
        <f ca="1">IFERROR(__xludf.DUMMYFUNCTION("""COMPUTED_VALUE"""),"Ground")</f>
        <v>Ground</v>
      </c>
      <c r="E137" s="17">
        <f ca="1">IFERROR(__xludf.DUMMYFUNCTION("""COMPUTED_VALUE"""),130)</f>
        <v>130</v>
      </c>
      <c r="F137" s="17">
        <f ca="1">IFERROR(__xludf.DUMMYFUNCTION("""COMPUTED_VALUE"""),0)</f>
        <v>0</v>
      </c>
      <c r="G137" s="18">
        <f ca="1">IFERROR(__xludf.DUMMYFUNCTION("""COMPUTED_VALUE"""),75)</f>
        <v>75</v>
      </c>
      <c r="H137" s="18">
        <f ca="1">IFERROR(__xludf.DUMMYFUNCTION("""COMPUTED_VALUE"""),0)</f>
        <v>0</v>
      </c>
      <c r="I137" s="19">
        <f ca="1">IFERROR(__xludf.DUMMYFUNCTION("""COMPUTED_VALUE"""),60)</f>
        <v>60</v>
      </c>
      <c r="J137" s="19">
        <f ca="1">IFERROR(__xludf.DUMMYFUNCTION("""COMPUTED_VALUE"""),0)</f>
        <v>0</v>
      </c>
      <c r="K137" s="20">
        <f ca="1">IFERROR(__xludf.DUMMYFUNCTION("""COMPUTED_VALUE"""),45)</f>
        <v>45</v>
      </c>
      <c r="L137" s="20">
        <f ca="1">IFERROR(__xludf.DUMMYFUNCTION("""COMPUTED_VALUE"""),0)</f>
        <v>0</v>
      </c>
      <c r="M137" s="21">
        <f ca="1">IFERROR(__xludf.DUMMYFUNCTION("""COMPUTED_VALUE"""),100)</f>
        <v>100</v>
      </c>
      <c r="N137" s="21">
        <f ca="1">IFERROR(__xludf.DUMMYFUNCTION("""COMPUTED_VALUE"""),0)</f>
        <v>0</v>
      </c>
      <c r="O137" s="22">
        <f ca="1">IFERROR(__xludf.DUMMYFUNCTION("""COMPUTED_VALUE"""),20)</f>
        <v>20</v>
      </c>
      <c r="P137" s="22">
        <f ca="1">IFERROR(__xludf.DUMMYFUNCTION("""COMPUTED_VALUE"""),0)</f>
        <v>0</v>
      </c>
      <c r="Q137" s="23">
        <f ca="1">IFERROR(__xludf.DUMMYFUNCTION("""COMPUTED_VALUE"""),430)</f>
        <v>430</v>
      </c>
      <c r="R137" s="23">
        <f ca="1">IFERROR(__xludf.DUMMYFUNCTION("""COMPUTED_VALUE"""),0)</f>
        <v>0</v>
      </c>
      <c r="S137" s="24" t="str">
        <f ca="1">IFERROR(__xludf.DUMMYFUNCTION("""COMPUTED_VALUE"""),"Poison Point")</f>
        <v>Poison Point</v>
      </c>
      <c r="T137" s="24" t="str">
        <f ca="1">IFERROR(__xludf.DUMMYFUNCTION("""COMPUTED_VALUE"""),"Water Absorb")</f>
        <v>Water Absorb</v>
      </c>
      <c r="U137" s="24" t="str">
        <f ca="1">IFERROR(__xludf.DUMMYFUNCTION("""COMPUTED_VALUE"""),"Unaware")</f>
        <v>Unaware</v>
      </c>
      <c r="V137" s="25" t="str">
        <f ca="1">IFERROR(__xludf.DUMMYFUNCTION("""COMPUTED_VALUE"""),"Lv. 20")</f>
        <v>Lv. 20</v>
      </c>
      <c r="W137" s="25"/>
      <c r="X137" s="25"/>
      <c r="Y137" s="25" t="str">
        <f ca="1">IFERROR(__xludf.DUMMYFUNCTION("""COMPUTED_VALUE"""),"Fresco Isles, Palati City (wild)")</f>
        <v>Fresco Isles, Palati City (wild)</v>
      </c>
    </row>
    <row r="138" spans="1:25" x14ac:dyDescent="0.25">
      <c r="A138" s="15" t="str">
        <f ca="1">IFERROR(__xludf.DUMMYFUNCTION("""COMPUTED_VALUE"""),"Toedscool")</f>
        <v>Toedscool</v>
      </c>
      <c r="B138" s="16">
        <f ca="1">IFERROR(__xludf.DUMMYFUNCTION("""COMPUTED_VALUE"""),137)</f>
        <v>137</v>
      </c>
      <c r="C138" s="3" t="str">
        <f ca="1">IFERROR(__xludf.DUMMYFUNCTION("""COMPUTED_VALUE"""),"Ground")</f>
        <v>Ground</v>
      </c>
      <c r="D138" s="3" t="str">
        <f ca="1">IFERROR(__xludf.DUMMYFUNCTION("""COMPUTED_VALUE"""),"Grass")</f>
        <v>Grass</v>
      </c>
      <c r="E138" s="17">
        <f ca="1">IFERROR(__xludf.DUMMYFUNCTION("""COMPUTED_VALUE"""),40)</f>
        <v>40</v>
      </c>
      <c r="F138" s="17">
        <f ca="1">IFERROR(__xludf.DUMMYFUNCTION("""COMPUTED_VALUE"""),0)</f>
        <v>0</v>
      </c>
      <c r="G138" s="18">
        <f ca="1">IFERROR(__xludf.DUMMYFUNCTION("""COMPUTED_VALUE"""),40)</f>
        <v>40</v>
      </c>
      <c r="H138" s="18">
        <f ca="1">IFERROR(__xludf.DUMMYFUNCTION("""COMPUTED_VALUE"""),0)</f>
        <v>0</v>
      </c>
      <c r="I138" s="19">
        <f ca="1">IFERROR(__xludf.DUMMYFUNCTION("""COMPUTED_VALUE"""),35)</f>
        <v>35</v>
      </c>
      <c r="J138" s="19">
        <f ca="1">IFERROR(__xludf.DUMMYFUNCTION("""COMPUTED_VALUE"""),0)</f>
        <v>0</v>
      </c>
      <c r="K138" s="20">
        <f ca="1">IFERROR(__xludf.DUMMYFUNCTION("""COMPUTED_VALUE"""),60)</f>
        <v>60</v>
      </c>
      <c r="L138" s="20">
        <f ca="1">IFERROR(__xludf.DUMMYFUNCTION("""COMPUTED_VALUE"""),10)</f>
        <v>10</v>
      </c>
      <c r="M138" s="21">
        <f ca="1">IFERROR(__xludf.DUMMYFUNCTION("""COMPUTED_VALUE"""),100)</f>
        <v>100</v>
      </c>
      <c r="N138" s="21">
        <f ca="1">IFERROR(__xludf.DUMMYFUNCTION("""COMPUTED_VALUE"""),0)</f>
        <v>0</v>
      </c>
      <c r="O138" s="22">
        <f ca="1">IFERROR(__xludf.DUMMYFUNCTION("""COMPUTED_VALUE"""),70)</f>
        <v>70</v>
      </c>
      <c r="P138" s="22">
        <f ca="1">IFERROR(__xludf.DUMMYFUNCTION("""COMPUTED_VALUE"""),0)</f>
        <v>0</v>
      </c>
      <c r="Q138" s="23">
        <f ca="1">IFERROR(__xludf.DUMMYFUNCTION("""COMPUTED_VALUE"""),345)</f>
        <v>345</v>
      </c>
      <c r="R138" s="23">
        <f ca="1">IFERROR(__xludf.DUMMYFUNCTION("""COMPUTED_VALUE"""),10)</f>
        <v>10</v>
      </c>
      <c r="S138" s="24" t="str">
        <f ca="1">IFERROR(__xludf.DUMMYFUNCTION("""COMPUTED_VALUE"""),"Mycelium Might")</f>
        <v>Mycelium Might</v>
      </c>
      <c r="T138" s="25"/>
      <c r="U138" s="24" t="str">
        <f ca="1">IFERROR(__xludf.DUMMYFUNCTION("""COMPUTED_VALUE"""),"Effect Spore")</f>
        <v>Effect Spore</v>
      </c>
      <c r="V138" s="25"/>
      <c r="W138" s="25" t="str">
        <f ca="1">IFERROR(__xludf.DUMMYFUNCTION("""COMPUTED_VALUE"""),"Tiny Mushroom")</f>
        <v>Tiny Mushroom</v>
      </c>
      <c r="X138" s="25" t="str">
        <f ca="1">IFERROR(__xludf.DUMMYFUNCTION("""COMPUTED_VALUE"""),"Big Mushroom")</f>
        <v>Big Mushroom</v>
      </c>
      <c r="Y138" s="25" t="str">
        <f ca="1">IFERROR(__xludf.DUMMYFUNCTION("""COMPUTED_VALUE"""),"Kalami City, Wanderer`s Woods, Palati City (wild)")</f>
        <v>Kalami City, Wanderer`s Woods, Palati City (wild)</v>
      </c>
    </row>
    <row r="139" spans="1:25" x14ac:dyDescent="0.25">
      <c r="A139" s="15" t="str">
        <f ca="1">IFERROR(__xludf.DUMMYFUNCTION("""COMPUTED_VALUE"""),"Toedscruel")</f>
        <v>Toedscruel</v>
      </c>
      <c r="B139" s="16">
        <f ca="1">IFERROR(__xludf.DUMMYFUNCTION("""COMPUTED_VALUE"""),138)</f>
        <v>138</v>
      </c>
      <c r="C139" s="3" t="str">
        <f ca="1">IFERROR(__xludf.DUMMYFUNCTION("""COMPUTED_VALUE"""),"Ground")</f>
        <v>Ground</v>
      </c>
      <c r="D139" s="3" t="str">
        <f ca="1">IFERROR(__xludf.DUMMYFUNCTION("""COMPUTED_VALUE"""),"Grass")</f>
        <v>Grass</v>
      </c>
      <c r="E139" s="17">
        <f ca="1">IFERROR(__xludf.DUMMYFUNCTION("""COMPUTED_VALUE"""),85)</f>
        <v>85</v>
      </c>
      <c r="F139" s="17">
        <f ca="1">IFERROR(__xludf.DUMMYFUNCTION("""COMPUTED_VALUE"""),5)</f>
        <v>5</v>
      </c>
      <c r="G139" s="18">
        <f ca="1">IFERROR(__xludf.DUMMYFUNCTION("""COMPUTED_VALUE"""),70)</f>
        <v>70</v>
      </c>
      <c r="H139" s="18">
        <f ca="1">IFERROR(__xludf.DUMMYFUNCTION("""COMPUTED_VALUE"""),0)</f>
        <v>0</v>
      </c>
      <c r="I139" s="19">
        <f ca="1">IFERROR(__xludf.DUMMYFUNCTION("""COMPUTED_VALUE"""),65)</f>
        <v>65</v>
      </c>
      <c r="J139" s="19">
        <f ca="1">IFERROR(__xludf.DUMMYFUNCTION("""COMPUTED_VALUE"""),0)</f>
        <v>0</v>
      </c>
      <c r="K139" s="20">
        <f ca="1">IFERROR(__xludf.DUMMYFUNCTION("""COMPUTED_VALUE"""),85)</f>
        <v>85</v>
      </c>
      <c r="L139" s="20">
        <f ca="1">IFERROR(__xludf.DUMMYFUNCTION("""COMPUTED_VALUE"""),5)</f>
        <v>5</v>
      </c>
      <c r="M139" s="21">
        <f ca="1">IFERROR(__xludf.DUMMYFUNCTION("""COMPUTED_VALUE"""),120)</f>
        <v>120</v>
      </c>
      <c r="N139" s="21">
        <f ca="1">IFERROR(__xludf.DUMMYFUNCTION("""COMPUTED_VALUE"""),0)</f>
        <v>0</v>
      </c>
      <c r="O139" s="22">
        <f ca="1">IFERROR(__xludf.DUMMYFUNCTION("""COMPUTED_VALUE"""),100)</f>
        <v>100</v>
      </c>
      <c r="P139" s="22">
        <f ca="1">IFERROR(__xludf.DUMMYFUNCTION("""COMPUTED_VALUE"""),0)</f>
        <v>0</v>
      </c>
      <c r="Q139" s="23">
        <f ca="1">IFERROR(__xludf.DUMMYFUNCTION("""COMPUTED_VALUE"""),525)</f>
        <v>525</v>
      </c>
      <c r="R139" s="23">
        <f ca="1">IFERROR(__xludf.DUMMYFUNCTION("""COMPUTED_VALUE"""),10)</f>
        <v>10</v>
      </c>
      <c r="S139" s="24" t="str">
        <f ca="1">IFERROR(__xludf.DUMMYFUNCTION("""COMPUTED_VALUE"""),"Mycelium Might")</f>
        <v>Mycelium Might</v>
      </c>
      <c r="T139" s="25"/>
      <c r="U139" s="24" t="str">
        <f ca="1">IFERROR(__xludf.DUMMYFUNCTION("""COMPUTED_VALUE"""),"Effect Spore")</f>
        <v>Effect Spore</v>
      </c>
      <c r="V139" s="25" t="str">
        <f ca="1">IFERROR(__xludf.DUMMYFUNCTION("""COMPUTED_VALUE"""),"Lv. 30")</f>
        <v>Lv. 30</v>
      </c>
      <c r="W139" s="25" t="str">
        <f ca="1">IFERROR(__xludf.DUMMYFUNCTION("""COMPUTED_VALUE"""),"Tiny Mushroom")</f>
        <v>Tiny Mushroom</v>
      </c>
      <c r="X139" s="25" t="str">
        <f ca="1">IFERROR(__xludf.DUMMYFUNCTION("""COMPUTED_VALUE"""),"Big Mushroom")</f>
        <v>Big Mushroom</v>
      </c>
      <c r="Y139" s="25" t="str">
        <f ca="1">IFERROR(__xludf.DUMMYFUNCTION("""COMPUTED_VALUE"""),"Palati City (wild)")</f>
        <v>Palati City (wild)</v>
      </c>
    </row>
    <row r="140" spans="1:25" x14ac:dyDescent="0.25">
      <c r="A140" s="15" t="str">
        <f ca="1">IFERROR(__xludf.DUMMYFUNCTION("""COMPUTED_VALUE"""),"Blitzle")</f>
        <v>Blitzle</v>
      </c>
      <c r="B140" s="16">
        <f ca="1">IFERROR(__xludf.DUMMYFUNCTION("""COMPUTED_VALUE"""),139)</f>
        <v>139</v>
      </c>
      <c r="C140" s="3" t="str">
        <f ca="1">IFERROR(__xludf.DUMMYFUNCTION("""COMPUTED_VALUE"""),"Electric")</f>
        <v>Electric</v>
      </c>
      <c r="D140" s="3"/>
      <c r="E140" s="17">
        <f ca="1">IFERROR(__xludf.DUMMYFUNCTION("""COMPUTED_VALUE"""),45)</f>
        <v>45</v>
      </c>
      <c r="F140" s="17">
        <f ca="1">IFERROR(__xludf.DUMMYFUNCTION("""COMPUTED_VALUE"""),0)</f>
        <v>0</v>
      </c>
      <c r="G140" s="18">
        <f ca="1">IFERROR(__xludf.DUMMYFUNCTION("""COMPUTED_VALUE"""),65)</f>
        <v>65</v>
      </c>
      <c r="H140" s="18">
        <f ca="1">IFERROR(__xludf.DUMMYFUNCTION("""COMPUTED_VALUE"""),5)</f>
        <v>5</v>
      </c>
      <c r="I140" s="19">
        <f ca="1">IFERROR(__xludf.DUMMYFUNCTION("""COMPUTED_VALUE"""),32)</f>
        <v>32</v>
      </c>
      <c r="J140" s="19">
        <f ca="1">IFERROR(__xludf.DUMMYFUNCTION("""COMPUTED_VALUE"""),0)</f>
        <v>0</v>
      </c>
      <c r="K140" s="20">
        <f ca="1">IFERROR(__xludf.DUMMYFUNCTION("""COMPUTED_VALUE"""),50)</f>
        <v>50</v>
      </c>
      <c r="L140" s="20">
        <f ca="1">IFERROR(__xludf.DUMMYFUNCTION("""COMPUTED_VALUE"""),0)</f>
        <v>0</v>
      </c>
      <c r="M140" s="21">
        <f ca="1">IFERROR(__xludf.DUMMYFUNCTION("""COMPUTED_VALUE"""),37)</f>
        <v>37</v>
      </c>
      <c r="N140" s="21">
        <f ca="1">IFERROR(__xludf.DUMMYFUNCTION("""COMPUTED_VALUE"""),5)</f>
        <v>5</v>
      </c>
      <c r="O140" s="22">
        <f ca="1">IFERROR(__xludf.DUMMYFUNCTION("""COMPUTED_VALUE"""),76)</f>
        <v>76</v>
      </c>
      <c r="P140" s="22">
        <f ca="1">IFERROR(__xludf.DUMMYFUNCTION("""COMPUTED_VALUE"""),0)</f>
        <v>0</v>
      </c>
      <c r="Q140" s="23">
        <f ca="1">IFERROR(__xludf.DUMMYFUNCTION("""COMPUTED_VALUE"""),305)</f>
        <v>305</v>
      </c>
      <c r="R140" s="23">
        <f ca="1">IFERROR(__xludf.DUMMYFUNCTION("""COMPUTED_VALUE"""),10)</f>
        <v>10</v>
      </c>
      <c r="S140" s="24" t="str">
        <f ca="1">IFERROR(__xludf.DUMMYFUNCTION("""COMPUTED_VALUE"""),"Lightning Rod")</f>
        <v>Lightning Rod</v>
      </c>
      <c r="T140" s="24" t="str">
        <f ca="1">IFERROR(__xludf.DUMMYFUNCTION("""COMPUTED_VALUE"""),"Motor Drive")</f>
        <v>Motor Drive</v>
      </c>
      <c r="U140" s="24" t="str">
        <f ca="1">IFERROR(__xludf.DUMMYFUNCTION("""COMPUTED_VALUE"""),"Sap Sipper")</f>
        <v>Sap Sipper</v>
      </c>
      <c r="V140" s="25"/>
      <c r="W140" s="25"/>
      <c r="X140" s="25"/>
      <c r="Y140" s="25" t="str">
        <f ca="1">IFERROR(__xludf.DUMMYFUNCTION("""COMPUTED_VALUE"""),"Wanderer`s Woods (wild)")</f>
        <v>Wanderer`s Woods (wild)</v>
      </c>
    </row>
    <row r="141" spans="1:25" x14ac:dyDescent="0.25">
      <c r="A141" s="15" t="str">
        <f ca="1">IFERROR(__xludf.DUMMYFUNCTION("""COMPUTED_VALUE"""),"Zebstrika")</f>
        <v>Zebstrika</v>
      </c>
      <c r="B141" s="16">
        <f ca="1">IFERROR(__xludf.DUMMYFUNCTION("""COMPUTED_VALUE"""),140)</f>
        <v>140</v>
      </c>
      <c r="C141" s="3" t="str">
        <f ca="1">IFERROR(__xludf.DUMMYFUNCTION("""COMPUTED_VALUE"""),"Electric")</f>
        <v>Electric</v>
      </c>
      <c r="D141" s="3"/>
      <c r="E141" s="17">
        <f ca="1">IFERROR(__xludf.DUMMYFUNCTION("""COMPUTED_VALUE"""),85)</f>
        <v>85</v>
      </c>
      <c r="F141" s="17">
        <f ca="1">IFERROR(__xludf.DUMMYFUNCTION("""COMPUTED_VALUE"""),10)</f>
        <v>10</v>
      </c>
      <c r="G141" s="18">
        <f ca="1">IFERROR(__xludf.DUMMYFUNCTION("""COMPUTED_VALUE"""),110)</f>
        <v>110</v>
      </c>
      <c r="H141" s="18">
        <f ca="1">IFERROR(__xludf.DUMMYFUNCTION("""COMPUTED_VALUE"""),10)</f>
        <v>10</v>
      </c>
      <c r="I141" s="19">
        <f ca="1">IFERROR(__xludf.DUMMYFUNCTION("""COMPUTED_VALUE"""),63)</f>
        <v>63</v>
      </c>
      <c r="J141" s="19">
        <f ca="1">IFERROR(__xludf.DUMMYFUNCTION("""COMPUTED_VALUE"""),0)</f>
        <v>0</v>
      </c>
      <c r="K141" s="20">
        <f ca="1">IFERROR(__xludf.DUMMYFUNCTION("""COMPUTED_VALUE"""),80)</f>
        <v>80</v>
      </c>
      <c r="L141" s="20">
        <f ca="1">IFERROR(__xludf.DUMMYFUNCTION("""COMPUTED_VALUE"""),0)</f>
        <v>0</v>
      </c>
      <c r="M141" s="21">
        <f ca="1">IFERROR(__xludf.DUMMYFUNCTION("""COMPUTED_VALUE"""),63)</f>
        <v>63</v>
      </c>
      <c r="N141" s="21">
        <f ca="1">IFERROR(__xludf.DUMMYFUNCTION("""COMPUTED_VALUE"""),0)</f>
        <v>0</v>
      </c>
      <c r="O141" s="22">
        <f ca="1">IFERROR(__xludf.DUMMYFUNCTION("""COMPUTED_VALUE"""),116)</f>
        <v>116</v>
      </c>
      <c r="P141" s="22">
        <f ca="1">IFERROR(__xludf.DUMMYFUNCTION("""COMPUTED_VALUE"""),0)</f>
        <v>0</v>
      </c>
      <c r="Q141" s="23">
        <f ca="1">IFERROR(__xludf.DUMMYFUNCTION("""COMPUTED_VALUE"""),517)</f>
        <v>517</v>
      </c>
      <c r="R141" s="23">
        <f ca="1">IFERROR(__xludf.DUMMYFUNCTION("""COMPUTED_VALUE"""),20)</f>
        <v>20</v>
      </c>
      <c r="S141" s="24" t="str">
        <f ca="1">IFERROR(__xludf.DUMMYFUNCTION("""COMPUTED_VALUE"""),"Lightning Rod")</f>
        <v>Lightning Rod</v>
      </c>
      <c r="T141" s="24" t="str">
        <f ca="1">IFERROR(__xludf.DUMMYFUNCTION("""COMPUTED_VALUE"""),"Motor Drive")</f>
        <v>Motor Drive</v>
      </c>
      <c r="U141" s="24" t="str">
        <f ca="1">IFERROR(__xludf.DUMMYFUNCTION("""COMPUTED_VALUE"""),"Sap Sipper")</f>
        <v>Sap Sipper</v>
      </c>
      <c r="V141" s="25" t="str">
        <f ca="1">IFERROR(__xludf.DUMMYFUNCTION("""COMPUTED_VALUE"""),"Lv. 27")</f>
        <v>Lv. 27</v>
      </c>
      <c r="W141" s="25"/>
      <c r="X141" s="25"/>
      <c r="Y141" s="25" t="str">
        <f ca="1">IFERROR(__xludf.DUMMYFUNCTION("""COMPUTED_VALUE"""),"Blitzle (evolve)")</f>
        <v>Blitzle (evolve)</v>
      </c>
    </row>
    <row r="142" spans="1:25" x14ac:dyDescent="0.25">
      <c r="A142" s="15" t="str">
        <f ca="1">IFERROR(__xludf.DUMMYFUNCTION("""COMPUTED_VALUE"""),"Hoothoot")</f>
        <v>Hoothoot</v>
      </c>
      <c r="B142" s="16">
        <f ca="1">IFERROR(__xludf.DUMMYFUNCTION("""COMPUTED_VALUE"""),141)</f>
        <v>141</v>
      </c>
      <c r="C142" s="3" t="str">
        <f ca="1">IFERROR(__xludf.DUMMYFUNCTION("""COMPUTED_VALUE"""),"Normal")</f>
        <v>Normal</v>
      </c>
      <c r="D142" s="3" t="str">
        <f ca="1">IFERROR(__xludf.DUMMYFUNCTION("""COMPUTED_VALUE"""),"Flying")</f>
        <v>Flying</v>
      </c>
      <c r="E142" s="17">
        <f ca="1">IFERROR(__xludf.DUMMYFUNCTION("""COMPUTED_VALUE"""),60)</f>
        <v>60</v>
      </c>
      <c r="F142" s="17">
        <f ca="1">IFERROR(__xludf.DUMMYFUNCTION("""COMPUTED_VALUE"""),0)</f>
        <v>0</v>
      </c>
      <c r="G142" s="18">
        <f ca="1">IFERROR(__xludf.DUMMYFUNCTION("""COMPUTED_VALUE"""),30)</f>
        <v>30</v>
      </c>
      <c r="H142" s="18">
        <f ca="1">IFERROR(__xludf.DUMMYFUNCTION("""COMPUTED_VALUE"""),0)</f>
        <v>0</v>
      </c>
      <c r="I142" s="19">
        <f ca="1">IFERROR(__xludf.DUMMYFUNCTION("""COMPUTED_VALUE"""),30)</f>
        <v>30</v>
      </c>
      <c r="J142" s="19">
        <f ca="1">IFERROR(__xludf.DUMMYFUNCTION("""COMPUTED_VALUE"""),0)</f>
        <v>0</v>
      </c>
      <c r="K142" s="20">
        <f ca="1">IFERROR(__xludf.DUMMYFUNCTION("""COMPUTED_VALUE"""),41)</f>
        <v>41</v>
      </c>
      <c r="L142" s="20">
        <f ca="1">IFERROR(__xludf.DUMMYFUNCTION("""COMPUTED_VALUE"""),5)</f>
        <v>5</v>
      </c>
      <c r="M142" s="21">
        <f ca="1">IFERROR(__xludf.DUMMYFUNCTION("""COMPUTED_VALUE"""),56)</f>
        <v>56</v>
      </c>
      <c r="N142" s="21">
        <f ca="1">IFERROR(__xludf.DUMMYFUNCTION("""COMPUTED_VALUE"""),0)</f>
        <v>0</v>
      </c>
      <c r="O142" s="22">
        <f ca="1">IFERROR(__xludf.DUMMYFUNCTION("""COMPUTED_VALUE"""),50)</f>
        <v>50</v>
      </c>
      <c r="P142" s="22">
        <f ca="1">IFERROR(__xludf.DUMMYFUNCTION("""COMPUTED_VALUE"""),0)</f>
        <v>0</v>
      </c>
      <c r="Q142" s="23">
        <f ca="1">IFERROR(__xludf.DUMMYFUNCTION("""COMPUTED_VALUE"""),267)</f>
        <v>267</v>
      </c>
      <c r="R142" s="23">
        <f ca="1">IFERROR(__xludf.DUMMYFUNCTION("""COMPUTED_VALUE"""),5)</f>
        <v>5</v>
      </c>
      <c r="S142" s="24" t="str">
        <f ca="1">IFERROR(__xludf.DUMMYFUNCTION("""COMPUTED_VALUE"""),"Analytic")</f>
        <v>Analytic</v>
      </c>
      <c r="T142" s="24" t="str">
        <f ca="1">IFERROR(__xludf.DUMMYFUNCTION("""COMPUTED_VALUE"""),"Keen Eye")</f>
        <v>Keen Eye</v>
      </c>
      <c r="U142" s="24" t="str">
        <f ca="1">IFERROR(__xludf.DUMMYFUNCTION("""COMPUTED_VALUE"""),"Tinted Lens")</f>
        <v>Tinted Lens</v>
      </c>
      <c r="V142" s="25"/>
      <c r="W142" s="25"/>
      <c r="X142" s="25"/>
      <c r="Y142" s="25" t="str">
        <f ca="1">IFERROR(__xludf.DUMMYFUNCTION("""COMPUTED_VALUE"""),"Acrisia City, Bronze Fields N, Pythios Town (wild)")</f>
        <v>Acrisia City, Bronze Fields N, Pythios Town (wild)</v>
      </c>
    </row>
    <row r="143" spans="1:25" x14ac:dyDescent="0.25">
      <c r="A143" s="15" t="str">
        <f ca="1">IFERROR(__xludf.DUMMYFUNCTION("""COMPUTED_VALUE"""),"Noctowl")</f>
        <v>Noctowl</v>
      </c>
      <c r="B143" s="16">
        <f ca="1">IFERROR(__xludf.DUMMYFUNCTION("""COMPUTED_VALUE"""),142)</f>
        <v>142</v>
      </c>
      <c r="C143" s="3" t="str">
        <f ca="1">IFERROR(__xludf.DUMMYFUNCTION("""COMPUTED_VALUE"""),"Ghost")</f>
        <v>Ghost</v>
      </c>
      <c r="D143" s="3" t="str">
        <f ca="1">IFERROR(__xludf.DUMMYFUNCTION("""COMPUTED_VALUE"""),"Flying")</f>
        <v>Flying</v>
      </c>
      <c r="E143" s="17">
        <f ca="1">IFERROR(__xludf.DUMMYFUNCTION("""COMPUTED_VALUE"""),100)</f>
        <v>100</v>
      </c>
      <c r="F143" s="17">
        <f ca="1">IFERROR(__xludf.DUMMYFUNCTION("""COMPUTED_VALUE"""),0)</f>
        <v>0</v>
      </c>
      <c r="G143" s="18">
        <f ca="1">IFERROR(__xludf.DUMMYFUNCTION("""COMPUTED_VALUE"""),50)</f>
        <v>50</v>
      </c>
      <c r="H143" s="18">
        <f ca="1">IFERROR(__xludf.DUMMYFUNCTION("""COMPUTED_VALUE"""),0)</f>
        <v>0</v>
      </c>
      <c r="I143" s="19">
        <f ca="1">IFERROR(__xludf.DUMMYFUNCTION("""COMPUTED_VALUE"""),55)</f>
        <v>55</v>
      </c>
      <c r="J143" s="19">
        <f ca="1">IFERROR(__xludf.DUMMYFUNCTION("""COMPUTED_VALUE"""),5)</f>
        <v>5</v>
      </c>
      <c r="K143" s="20">
        <f ca="1">IFERROR(__xludf.DUMMYFUNCTION("""COMPUTED_VALUE"""),86)</f>
        <v>86</v>
      </c>
      <c r="L143" s="20">
        <f ca="1">IFERROR(__xludf.DUMMYFUNCTION("""COMPUTED_VALUE"""),0)</f>
        <v>0</v>
      </c>
      <c r="M143" s="21">
        <f ca="1">IFERROR(__xludf.DUMMYFUNCTION("""COMPUTED_VALUE"""),101)</f>
        <v>101</v>
      </c>
      <c r="N143" s="21">
        <f ca="1">IFERROR(__xludf.DUMMYFUNCTION("""COMPUTED_VALUE"""),5)</f>
        <v>5</v>
      </c>
      <c r="O143" s="22">
        <f ca="1">IFERROR(__xludf.DUMMYFUNCTION("""COMPUTED_VALUE"""),65)</f>
        <v>65</v>
      </c>
      <c r="P143" s="22">
        <f ca="1">IFERROR(__xludf.DUMMYFUNCTION("""COMPUTED_VALUE"""),-5)</f>
        <v>-5</v>
      </c>
      <c r="Q143" s="23">
        <f ca="1">IFERROR(__xludf.DUMMYFUNCTION("""COMPUTED_VALUE"""),457)</f>
        <v>457</v>
      </c>
      <c r="R143" s="23">
        <f ca="1">IFERROR(__xludf.DUMMYFUNCTION("""COMPUTED_VALUE"""),5)</f>
        <v>5</v>
      </c>
      <c r="S143" s="24" t="str">
        <f ca="1">IFERROR(__xludf.DUMMYFUNCTION("""COMPUTED_VALUE"""),"Shadow Tag")</f>
        <v>Shadow Tag</v>
      </c>
      <c r="T143" s="24" t="str">
        <f ca="1">IFERROR(__xludf.DUMMYFUNCTION("""COMPUTED_VALUE"""),"Keen Eye")</f>
        <v>Keen Eye</v>
      </c>
      <c r="U143" s="24" t="str">
        <f ca="1">IFERROR(__xludf.DUMMYFUNCTION("""COMPUTED_VALUE"""),"Tinted Lens")</f>
        <v>Tinted Lens</v>
      </c>
      <c r="V143" s="25" t="str">
        <f ca="1">IFERROR(__xludf.DUMMYFUNCTION("""COMPUTED_VALUE"""),"Lv. 20")</f>
        <v>Lv. 20</v>
      </c>
      <c r="W143" s="25"/>
      <c r="X143" s="25"/>
      <c r="Y143" s="25" t="str">
        <f ca="1">IFERROR(__xludf.DUMMYFUNCTION("""COMPUTED_VALUE"""),"Sea of Vulcai (wild)")</f>
        <v>Sea of Vulcai (wild)</v>
      </c>
    </row>
    <row r="144" spans="1:25" x14ac:dyDescent="0.25">
      <c r="A144" s="15" t="str">
        <f ca="1">IFERROR(__xludf.DUMMYFUNCTION("""COMPUTED_VALUE"""),"Mienfoo")</f>
        <v>Mienfoo</v>
      </c>
      <c r="B144" s="16">
        <f ca="1">IFERROR(__xludf.DUMMYFUNCTION("""COMPUTED_VALUE"""),143)</f>
        <v>143</v>
      </c>
      <c r="C144" s="3" t="str">
        <f ca="1">IFERROR(__xludf.DUMMYFUNCTION("""COMPUTED_VALUE"""),"Fighting")</f>
        <v>Fighting</v>
      </c>
      <c r="D144" s="3"/>
      <c r="E144" s="17">
        <f ca="1">IFERROR(__xludf.DUMMYFUNCTION("""COMPUTED_VALUE"""),45)</f>
        <v>45</v>
      </c>
      <c r="F144" s="17">
        <f ca="1">IFERROR(__xludf.DUMMYFUNCTION("""COMPUTED_VALUE"""),0)</f>
        <v>0</v>
      </c>
      <c r="G144" s="18">
        <f ca="1">IFERROR(__xludf.DUMMYFUNCTION("""COMPUTED_VALUE"""),85)</f>
        <v>85</v>
      </c>
      <c r="H144" s="18">
        <f ca="1">IFERROR(__xludf.DUMMYFUNCTION("""COMPUTED_VALUE"""),0)</f>
        <v>0</v>
      </c>
      <c r="I144" s="19">
        <f ca="1">IFERROR(__xludf.DUMMYFUNCTION("""COMPUTED_VALUE"""),50)</f>
        <v>50</v>
      </c>
      <c r="J144" s="19">
        <f ca="1">IFERROR(__xludf.DUMMYFUNCTION("""COMPUTED_VALUE"""),0)</f>
        <v>0</v>
      </c>
      <c r="K144" s="20">
        <f ca="1">IFERROR(__xludf.DUMMYFUNCTION("""COMPUTED_VALUE"""),55)</f>
        <v>55</v>
      </c>
      <c r="L144" s="20">
        <f ca="1">IFERROR(__xludf.DUMMYFUNCTION("""COMPUTED_VALUE"""),0)</f>
        <v>0</v>
      </c>
      <c r="M144" s="21">
        <f ca="1">IFERROR(__xludf.DUMMYFUNCTION("""COMPUTED_VALUE"""),50)</f>
        <v>50</v>
      </c>
      <c r="N144" s="21">
        <f ca="1">IFERROR(__xludf.DUMMYFUNCTION("""COMPUTED_VALUE"""),0)</f>
        <v>0</v>
      </c>
      <c r="O144" s="22">
        <f ca="1">IFERROR(__xludf.DUMMYFUNCTION("""COMPUTED_VALUE"""),65)</f>
        <v>65</v>
      </c>
      <c r="P144" s="22">
        <f ca="1">IFERROR(__xludf.DUMMYFUNCTION("""COMPUTED_VALUE"""),0)</f>
        <v>0</v>
      </c>
      <c r="Q144" s="23">
        <f ca="1">IFERROR(__xludf.DUMMYFUNCTION("""COMPUTED_VALUE"""),350)</f>
        <v>350</v>
      </c>
      <c r="R144" s="23">
        <f ca="1">IFERROR(__xludf.DUMMYFUNCTION("""COMPUTED_VALUE"""),0)</f>
        <v>0</v>
      </c>
      <c r="S144" s="24" t="str">
        <f ca="1">IFERROR(__xludf.DUMMYFUNCTION("""COMPUTED_VALUE"""),"Inner Focus")</f>
        <v>Inner Focus</v>
      </c>
      <c r="T144" s="24" t="str">
        <f ca="1">IFERROR(__xludf.DUMMYFUNCTION("""COMPUTED_VALUE"""),"Regenerator")</f>
        <v>Regenerator</v>
      </c>
      <c r="U144" s="24" t="str">
        <f ca="1">IFERROR(__xludf.DUMMYFUNCTION("""COMPUTED_VALUE"""),"Reckless")</f>
        <v>Reckless</v>
      </c>
      <c r="V144" s="25"/>
      <c r="W144" s="25"/>
      <c r="X144" s="25"/>
      <c r="Y144" s="25" t="str">
        <f ca="1">IFERROR(__xludf.DUMMYFUNCTION("""COMPUTED_VALUE"""),"Pythios Town (wild)")</f>
        <v>Pythios Town (wild)</v>
      </c>
    </row>
    <row r="145" spans="1:25" x14ac:dyDescent="0.25">
      <c r="A145" s="15" t="str">
        <f ca="1">IFERROR(__xludf.DUMMYFUNCTION("""COMPUTED_VALUE"""),"Mienshao")</f>
        <v>Mienshao</v>
      </c>
      <c r="B145" s="16">
        <f ca="1">IFERROR(__xludf.DUMMYFUNCTION("""COMPUTED_VALUE"""),144)</f>
        <v>144</v>
      </c>
      <c r="C145" s="3" t="str">
        <f ca="1">IFERROR(__xludf.DUMMYFUNCTION("""COMPUTED_VALUE"""),"Fighting")</f>
        <v>Fighting</v>
      </c>
      <c r="D145" s="3"/>
      <c r="E145" s="17">
        <f ca="1">IFERROR(__xludf.DUMMYFUNCTION("""COMPUTED_VALUE"""),65)</f>
        <v>65</v>
      </c>
      <c r="F145" s="17">
        <f ca="1">IFERROR(__xludf.DUMMYFUNCTION("""COMPUTED_VALUE"""),0)</f>
        <v>0</v>
      </c>
      <c r="G145" s="18">
        <f ca="1">IFERROR(__xludf.DUMMYFUNCTION("""COMPUTED_VALUE"""),127)</f>
        <v>127</v>
      </c>
      <c r="H145" s="18">
        <f ca="1">IFERROR(__xludf.DUMMYFUNCTION("""COMPUTED_VALUE"""),2)</f>
        <v>2</v>
      </c>
      <c r="I145" s="19">
        <f ca="1">IFERROR(__xludf.DUMMYFUNCTION("""COMPUTED_VALUE"""),60)</f>
        <v>60</v>
      </c>
      <c r="J145" s="19">
        <f ca="1">IFERROR(__xludf.DUMMYFUNCTION("""COMPUTED_VALUE"""),0)</f>
        <v>0</v>
      </c>
      <c r="K145" s="20">
        <f ca="1">IFERROR(__xludf.DUMMYFUNCTION("""COMPUTED_VALUE"""),85)</f>
        <v>85</v>
      </c>
      <c r="L145" s="20">
        <f ca="1">IFERROR(__xludf.DUMMYFUNCTION("""COMPUTED_VALUE"""),-10)</f>
        <v>-10</v>
      </c>
      <c r="M145" s="21">
        <f ca="1">IFERROR(__xludf.DUMMYFUNCTION("""COMPUTED_VALUE"""),75)</f>
        <v>75</v>
      </c>
      <c r="N145" s="21">
        <f ca="1">IFERROR(__xludf.DUMMYFUNCTION("""COMPUTED_VALUE"""),15)</f>
        <v>15</v>
      </c>
      <c r="O145" s="22">
        <f ca="1">IFERROR(__xludf.DUMMYFUNCTION("""COMPUTED_VALUE"""),108)</f>
        <v>108</v>
      </c>
      <c r="P145" s="22">
        <f ca="1">IFERROR(__xludf.DUMMYFUNCTION("""COMPUTED_VALUE"""),3)</f>
        <v>3</v>
      </c>
      <c r="Q145" s="23">
        <f ca="1">IFERROR(__xludf.DUMMYFUNCTION("""COMPUTED_VALUE"""),520)</f>
        <v>520</v>
      </c>
      <c r="R145" s="23">
        <f ca="1">IFERROR(__xludf.DUMMYFUNCTION("""COMPUTED_VALUE"""),10)</f>
        <v>10</v>
      </c>
      <c r="S145" s="24" t="str">
        <f ca="1">IFERROR(__xludf.DUMMYFUNCTION("""COMPUTED_VALUE"""),"Inner Focus")</f>
        <v>Inner Focus</v>
      </c>
      <c r="T145" s="24" t="str">
        <f ca="1">IFERROR(__xludf.DUMMYFUNCTION("""COMPUTED_VALUE"""),"Regenerator")</f>
        <v>Regenerator</v>
      </c>
      <c r="U145" s="24" t="str">
        <f ca="1">IFERROR(__xludf.DUMMYFUNCTION("""COMPUTED_VALUE"""),"Reckless")</f>
        <v>Reckless</v>
      </c>
      <c r="V145" s="25" t="str">
        <f ca="1">IFERROR(__xludf.DUMMYFUNCTION("""COMPUTED_VALUE"""),"Lv. 40")</f>
        <v>Lv. 40</v>
      </c>
      <c r="W145" s="25"/>
      <c r="X145" s="25"/>
      <c r="Y145" s="25" t="str">
        <f ca="1">IFERROR(__xludf.DUMMYFUNCTION("""COMPUTED_VALUE"""),"Mienfoo (evolve)")</f>
        <v>Mienfoo (evolve)</v>
      </c>
    </row>
    <row r="146" spans="1:25" x14ac:dyDescent="0.25">
      <c r="A146" s="15" t="str">
        <f ca="1">IFERROR(__xludf.DUMMYFUNCTION("""COMPUTED_VALUE"""),"Flittle")</f>
        <v>Flittle</v>
      </c>
      <c r="B146" s="16">
        <f ca="1">IFERROR(__xludf.DUMMYFUNCTION("""COMPUTED_VALUE"""),145)</f>
        <v>145</v>
      </c>
      <c r="C146" s="3" t="str">
        <f ca="1">IFERROR(__xludf.DUMMYFUNCTION("""COMPUTED_VALUE"""),"Psychic")</f>
        <v>Psychic</v>
      </c>
      <c r="D146" s="3"/>
      <c r="E146" s="17">
        <f ca="1">IFERROR(__xludf.DUMMYFUNCTION("""COMPUTED_VALUE"""),40)</f>
        <v>40</v>
      </c>
      <c r="F146" s="17">
        <f ca="1">IFERROR(__xludf.DUMMYFUNCTION("""COMPUTED_VALUE"""),10)</f>
        <v>10</v>
      </c>
      <c r="G146" s="18">
        <f ca="1">IFERROR(__xludf.DUMMYFUNCTION("""COMPUTED_VALUE"""),35)</f>
        <v>35</v>
      </c>
      <c r="H146" s="18">
        <f ca="1">IFERROR(__xludf.DUMMYFUNCTION("""COMPUTED_VALUE"""),0)</f>
        <v>0</v>
      </c>
      <c r="I146" s="19">
        <f ca="1">IFERROR(__xludf.DUMMYFUNCTION("""COMPUTED_VALUE"""),40)</f>
        <v>40</v>
      </c>
      <c r="J146" s="19">
        <f ca="1">IFERROR(__xludf.DUMMYFUNCTION("""COMPUTED_VALUE"""),10)</f>
        <v>10</v>
      </c>
      <c r="K146" s="20">
        <f ca="1">IFERROR(__xludf.DUMMYFUNCTION("""COMPUTED_VALUE"""),55)</f>
        <v>55</v>
      </c>
      <c r="L146" s="20">
        <f ca="1">IFERROR(__xludf.DUMMYFUNCTION("""COMPUTED_VALUE"""),0)</f>
        <v>0</v>
      </c>
      <c r="M146" s="21">
        <f ca="1">IFERROR(__xludf.DUMMYFUNCTION("""COMPUTED_VALUE"""),44)</f>
        <v>44</v>
      </c>
      <c r="N146" s="21">
        <f ca="1">IFERROR(__xludf.DUMMYFUNCTION("""COMPUTED_VALUE"""),14)</f>
        <v>14</v>
      </c>
      <c r="O146" s="22">
        <f ca="1">IFERROR(__xludf.DUMMYFUNCTION("""COMPUTED_VALUE"""),71)</f>
        <v>71</v>
      </c>
      <c r="P146" s="22">
        <f ca="1">IFERROR(__xludf.DUMMYFUNCTION("""COMPUTED_VALUE"""),-4)</f>
        <v>-4</v>
      </c>
      <c r="Q146" s="23">
        <f ca="1">IFERROR(__xludf.DUMMYFUNCTION("""COMPUTED_VALUE"""),285)</f>
        <v>285</v>
      </c>
      <c r="R146" s="23">
        <f ca="1">IFERROR(__xludf.DUMMYFUNCTION("""COMPUTED_VALUE"""),30)</f>
        <v>30</v>
      </c>
      <c r="S146" s="24" t="str">
        <f ca="1">IFERROR(__xludf.DUMMYFUNCTION("""COMPUTED_VALUE"""),"Anticipation")</f>
        <v>Anticipation</v>
      </c>
      <c r="T146" s="24" t="str">
        <f ca="1">IFERROR(__xludf.DUMMYFUNCTION("""COMPUTED_VALUE"""),"Frisk")</f>
        <v>Frisk</v>
      </c>
      <c r="U146" s="24" t="str">
        <f ca="1">IFERROR(__xludf.DUMMYFUNCTION("""COMPUTED_VALUE"""),"Speed Boost")</f>
        <v>Speed Boost</v>
      </c>
      <c r="V146" s="25"/>
      <c r="W146" s="25"/>
      <c r="X146" s="25"/>
      <c r="Y146" s="25" t="str">
        <f ca="1">IFERROR(__xludf.DUMMYFUNCTION("""COMPUTED_VALUE"""),"Acrisia Mountains Peak, Pythios Town (wild)")</f>
        <v>Acrisia Mountains Peak, Pythios Town (wild)</v>
      </c>
    </row>
    <row r="147" spans="1:25" x14ac:dyDescent="0.25">
      <c r="A147" s="15" t="str">
        <f ca="1">IFERROR(__xludf.DUMMYFUNCTION("""COMPUTED_VALUE"""),"Espathra")</f>
        <v>Espathra</v>
      </c>
      <c r="B147" s="16">
        <f ca="1">IFERROR(__xludf.DUMMYFUNCTION("""COMPUTED_VALUE"""),146)</f>
        <v>146</v>
      </c>
      <c r="C147" s="3" t="str">
        <f ca="1">IFERROR(__xludf.DUMMYFUNCTION("""COMPUTED_VALUE"""),"Psychic")</f>
        <v>Psychic</v>
      </c>
      <c r="D147" s="3"/>
      <c r="E147" s="17">
        <f ca="1">IFERROR(__xludf.DUMMYFUNCTION("""COMPUTED_VALUE"""),95)</f>
        <v>95</v>
      </c>
      <c r="F147" s="17">
        <f ca="1">IFERROR(__xludf.DUMMYFUNCTION("""COMPUTED_VALUE"""),0)</f>
        <v>0</v>
      </c>
      <c r="G147" s="18">
        <f ca="1">IFERROR(__xludf.DUMMYFUNCTION("""COMPUTED_VALUE"""),60)</f>
        <v>60</v>
      </c>
      <c r="H147" s="18">
        <f ca="1">IFERROR(__xludf.DUMMYFUNCTION("""COMPUTED_VALUE"""),0)</f>
        <v>0</v>
      </c>
      <c r="I147" s="19">
        <f ca="1">IFERROR(__xludf.DUMMYFUNCTION("""COMPUTED_VALUE"""),70)</f>
        <v>70</v>
      </c>
      <c r="J147" s="19">
        <f ca="1">IFERROR(__xludf.DUMMYFUNCTION("""COMPUTED_VALUE"""),10)</f>
        <v>10</v>
      </c>
      <c r="K147" s="20">
        <f ca="1">IFERROR(__xludf.DUMMYFUNCTION("""COMPUTED_VALUE"""),101)</f>
        <v>101</v>
      </c>
      <c r="L147" s="20">
        <f ca="1">IFERROR(__xludf.DUMMYFUNCTION("""COMPUTED_VALUE"""),0)</f>
        <v>0</v>
      </c>
      <c r="M147" s="21">
        <f ca="1">IFERROR(__xludf.DUMMYFUNCTION("""COMPUTED_VALUE"""),74)</f>
        <v>74</v>
      </c>
      <c r="N147" s="21">
        <f ca="1">IFERROR(__xludf.DUMMYFUNCTION("""COMPUTED_VALUE"""),14)</f>
        <v>14</v>
      </c>
      <c r="O147" s="22">
        <f ca="1">IFERROR(__xludf.DUMMYFUNCTION("""COMPUTED_VALUE"""),101)</f>
        <v>101</v>
      </c>
      <c r="P147" s="22">
        <f ca="1">IFERROR(__xludf.DUMMYFUNCTION("""COMPUTED_VALUE"""),-4)</f>
        <v>-4</v>
      </c>
      <c r="Q147" s="23">
        <f ca="1">IFERROR(__xludf.DUMMYFUNCTION("""COMPUTED_VALUE"""),501)</f>
        <v>501</v>
      </c>
      <c r="R147" s="23">
        <f ca="1">IFERROR(__xludf.DUMMYFUNCTION("""COMPUTED_VALUE"""),20)</f>
        <v>20</v>
      </c>
      <c r="S147" s="24" t="str">
        <f ca="1">IFERROR(__xludf.DUMMYFUNCTION("""COMPUTED_VALUE"""),"Opportunist")</f>
        <v>Opportunist</v>
      </c>
      <c r="T147" s="24" t="str">
        <f ca="1">IFERROR(__xludf.DUMMYFUNCTION("""COMPUTED_VALUE"""),"Frisk")</f>
        <v>Frisk</v>
      </c>
      <c r="U147" s="24" t="str">
        <f ca="1">IFERROR(__xludf.DUMMYFUNCTION("""COMPUTED_VALUE"""),"Speed Boost")</f>
        <v>Speed Boost</v>
      </c>
      <c r="V147" s="25" t="str">
        <f ca="1">IFERROR(__xludf.DUMMYFUNCTION("""COMPUTED_VALUE"""),"Lv. 30")</f>
        <v>Lv. 30</v>
      </c>
      <c r="W147" s="25"/>
      <c r="X147" s="25"/>
      <c r="Y147" s="25" t="str">
        <f ca="1">IFERROR(__xludf.DUMMYFUNCTION("""COMPUTED_VALUE"""),"Kaptara Island (wild)")</f>
        <v>Kaptara Island (wild)</v>
      </c>
    </row>
    <row r="148" spans="1:25" x14ac:dyDescent="0.25">
      <c r="A148" s="15" t="str">
        <f ca="1">IFERROR(__xludf.DUMMYFUNCTION("""COMPUTED_VALUE"""),"Vulpix")</f>
        <v>Vulpix</v>
      </c>
      <c r="B148" s="16">
        <f ca="1">IFERROR(__xludf.DUMMYFUNCTION("""COMPUTED_VALUE"""),147)</f>
        <v>147</v>
      </c>
      <c r="C148" s="3" t="str">
        <f ca="1">IFERROR(__xludf.DUMMYFUNCTION("""COMPUTED_VALUE"""),"Fire")</f>
        <v>Fire</v>
      </c>
      <c r="D148" s="3" t="str">
        <f ca="1">IFERROR(__xludf.DUMMYFUNCTION("""COMPUTED_VALUE"""),"Fairy")</f>
        <v>Fairy</v>
      </c>
      <c r="E148" s="17">
        <f ca="1">IFERROR(__xludf.DUMMYFUNCTION("""COMPUTED_VALUE"""),38)</f>
        <v>38</v>
      </c>
      <c r="F148" s="17">
        <f ca="1">IFERROR(__xludf.DUMMYFUNCTION("""COMPUTED_VALUE"""),0)</f>
        <v>0</v>
      </c>
      <c r="G148" s="18">
        <f ca="1">IFERROR(__xludf.DUMMYFUNCTION("""COMPUTED_VALUE"""),41)</f>
        <v>41</v>
      </c>
      <c r="H148" s="18">
        <f ca="1">IFERROR(__xludf.DUMMYFUNCTION("""COMPUTED_VALUE"""),0)</f>
        <v>0</v>
      </c>
      <c r="I148" s="19">
        <f ca="1">IFERROR(__xludf.DUMMYFUNCTION("""COMPUTED_VALUE"""),40)</f>
        <v>40</v>
      </c>
      <c r="J148" s="19">
        <f ca="1">IFERROR(__xludf.DUMMYFUNCTION("""COMPUTED_VALUE"""),0)</f>
        <v>0</v>
      </c>
      <c r="K148" s="20">
        <f ca="1">IFERROR(__xludf.DUMMYFUNCTION("""COMPUTED_VALUE"""),65)</f>
        <v>65</v>
      </c>
      <c r="L148" s="20">
        <f ca="1">IFERROR(__xludf.DUMMYFUNCTION("""COMPUTED_VALUE"""),15)</f>
        <v>15</v>
      </c>
      <c r="M148" s="21">
        <f ca="1">IFERROR(__xludf.DUMMYFUNCTION("""COMPUTED_VALUE"""),60)</f>
        <v>60</v>
      </c>
      <c r="N148" s="21">
        <f ca="1">IFERROR(__xludf.DUMMYFUNCTION("""COMPUTED_VALUE"""),-5)</f>
        <v>-5</v>
      </c>
      <c r="O148" s="22">
        <f ca="1">IFERROR(__xludf.DUMMYFUNCTION("""COMPUTED_VALUE"""),65)</f>
        <v>65</v>
      </c>
      <c r="P148" s="22">
        <f ca="1">IFERROR(__xludf.DUMMYFUNCTION("""COMPUTED_VALUE"""),0)</f>
        <v>0</v>
      </c>
      <c r="Q148" s="23">
        <f ca="1">IFERROR(__xludf.DUMMYFUNCTION("""COMPUTED_VALUE"""),309)</f>
        <v>309</v>
      </c>
      <c r="R148" s="23">
        <f ca="1">IFERROR(__xludf.DUMMYFUNCTION("""COMPUTED_VALUE"""),10)</f>
        <v>10</v>
      </c>
      <c r="S148" s="24" t="str">
        <f ca="1">IFERROR(__xludf.DUMMYFUNCTION("""COMPUTED_VALUE"""),"Flash Fire")</f>
        <v>Flash Fire</v>
      </c>
      <c r="T148" s="25"/>
      <c r="U148" s="24" t="str">
        <f ca="1">IFERROR(__xludf.DUMMYFUNCTION("""COMPUTED_VALUE"""),"Drought")</f>
        <v>Drought</v>
      </c>
      <c r="V148" s="25"/>
      <c r="W148" s="25"/>
      <c r="X148" s="25" t="str">
        <f ca="1">IFERROR(__xludf.DUMMYFUNCTION("""COMPUTED_VALUE"""),"Charcoal")</f>
        <v>Charcoal</v>
      </c>
      <c r="Y148" s="25" t="str">
        <f ca="1">IFERROR(__xludf.DUMMYFUNCTION("""COMPUTED_VALUE"""),"Jusmail Town, Pythios Cemetery (wild)")</f>
        <v>Jusmail Town, Pythios Cemetery (wild)</v>
      </c>
    </row>
    <row r="149" spans="1:25" x14ac:dyDescent="0.25">
      <c r="A149" s="15" t="str">
        <f ca="1">IFERROR(__xludf.DUMMYFUNCTION("""COMPUTED_VALUE"""),"Ninetales")</f>
        <v>Ninetales</v>
      </c>
      <c r="B149" s="16">
        <f ca="1">IFERROR(__xludf.DUMMYFUNCTION("""COMPUTED_VALUE"""),148)</f>
        <v>148</v>
      </c>
      <c r="C149" s="3" t="str">
        <f ca="1">IFERROR(__xludf.DUMMYFUNCTION("""COMPUTED_VALUE"""),"Fire")</f>
        <v>Fire</v>
      </c>
      <c r="D149" s="3" t="str">
        <f ca="1">IFERROR(__xludf.DUMMYFUNCTION("""COMPUTED_VALUE"""),"Fairy")</f>
        <v>Fairy</v>
      </c>
      <c r="E149" s="17">
        <f ca="1">IFERROR(__xludf.DUMMYFUNCTION("""COMPUTED_VALUE"""),73)</f>
        <v>73</v>
      </c>
      <c r="F149" s="17">
        <f ca="1">IFERROR(__xludf.DUMMYFUNCTION("""COMPUTED_VALUE"""),0)</f>
        <v>0</v>
      </c>
      <c r="G149" s="18">
        <f ca="1">IFERROR(__xludf.DUMMYFUNCTION("""COMPUTED_VALUE"""),76)</f>
        <v>76</v>
      </c>
      <c r="H149" s="18">
        <f ca="1">IFERROR(__xludf.DUMMYFUNCTION("""COMPUTED_VALUE"""),0)</f>
        <v>0</v>
      </c>
      <c r="I149" s="19">
        <f ca="1">IFERROR(__xludf.DUMMYFUNCTION("""COMPUTED_VALUE"""),75)</f>
        <v>75</v>
      </c>
      <c r="J149" s="19">
        <f ca="1">IFERROR(__xludf.DUMMYFUNCTION("""COMPUTED_VALUE"""),0)</f>
        <v>0</v>
      </c>
      <c r="K149" s="20">
        <f ca="1">IFERROR(__xludf.DUMMYFUNCTION("""COMPUTED_VALUE"""),101)</f>
        <v>101</v>
      </c>
      <c r="L149" s="20">
        <f ca="1">IFERROR(__xludf.DUMMYFUNCTION("""COMPUTED_VALUE"""),20)</f>
        <v>20</v>
      </c>
      <c r="M149" s="21">
        <f ca="1">IFERROR(__xludf.DUMMYFUNCTION("""COMPUTED_VALUE"""),96)</f>
        <v>96</v>
      </c>
      <c r="N149" s="21">
        <f ca="1">IFERROR(__xludf.DUMMYFUNCTION("""COMPUTED_VALUE"""),-4)</f>
        <v>-4</v>
      </c>
      <c r="O149" s="22">
        <f ca="1">IFERROR(__xludf.DUMMYFUNCTION("""COMPUTED_VALUE"""),100)</f>
        <v>100</v>
      </c>
      <c r="P149" s="22">
        <f ca="1">IFERROR(__xludf.DUMMYFUNCTION("""COMPUTED_VALUE"""),0)</f>
        <v>0</v>
      </c>
      <c r="Q149" s="23">
        <f ca="1">IFERROR(__xludf.DUMMYFUNCTION("""COMPUTED_VALUE"""),521)</f>
        <v>521</v>
      </c>
      <c r="R149" s="23">
        <f ca="1">IFERROR(__xludf.DUMMYFUNCTION("""COMPUTED_VALUE"""),16)</f>
        <v>16</v>
      </c>
      <c r="S149" s="24" t="str">
        <f ca="1">IFERROR(__xludf.DUMMYFUNCTION("""COMPUTED_VALUE"""),"Flash Fire")</f>
        <v>Flash Fire</v>
      </c>
      <c r="T149" s="25"/>
      <c r="U149" s="24" t="str">
        <f ca="1">IFERROR(__xludf.DUMMYFUNCTION("""COMPUTED_VALUE"""),"Drought")</f>
        <v>Drought</v>
      </c>
      <c r="V149" s="25" t="str">
        <f ca="1">IFERROR(__xludf.DUMMYFUNCTION("""COMPUTED_VALUE"""),"Fire Stone")</f>
        <v>Fire Stone</v>
      </c>
      <c r="W149" s="25"/>
      <c r="X149" s="25" t="str">
        <f ca="1">IFERROR(__xludf.DUMMYFUNCTION("""COMPUTED_VALUE"""),"Charcoal")</f>
        <v>Charcoal</v>
      </c>
      <c r="Y149" s="25" t="str">
        <f ca="1">IFERROR(__xludf.DUMMYFUNCTION("""COMPUTED_VALUE"""),"Vulpix (evolve)")</f>
        <v>Vulpix (evolve)</v>
      </c>
    </row>
    <row r="150" spans="1:25" x14ac:dyDescent="0.25">
      <c r="A150" s="15" t="str">
        <f ca="1">IFERROR(__xludf.DUMMYFUNCTION("""COMPUTED_VALUE"""),"Honedge")</f>
        <v>Honedge</v>
      </c>
      <c r="B150" s="16">
        <f ca="1">IFERROR(__xludf.DUMMYFUNCTION("""COMPUTED_VALUE"""),149)</f>
        <v>149</v>
      </c>
      <c r="C150" s="3" t="str">
        <f ca="1">IFERROR(__xludf.DUMMYFUNCTION("""COMPUTED_VALUE"""),"Steel")</f>
        <v>Steel</v>
      </c>
      <c r="D150" s="3" t="str">
        <f ca="1">IFERROR(__xludf.DUMMYFUNCTION("""COMPUTED_VALUE"""),"Ghost")</f>
        <v>Ghost</v>
      </c>
      <c r="E150" s="17">
        <f ca="1">IFERROR(__xludf.DUMMYFUNCTION("""COMPUTED_VALUE"""),45)</f>
        <v>45</v>
      </c>
      <c r="F150" s="17">
        <f ca="1">IFERROR(__xludf.DUMMYFUNCTION("""COMPUTED_VALUE"""),0)</f>
        <v>0</v>
      </c>
      <c r="G150" s="18">
        <f ca="1">IFERROR(__xludf.DUMMYFUNCTION("""COMPUTED_VALUE"""),80)</f>
        <v>80</v>
      </c>
      <c r="H150" s="18">
        <f ca="1">IFERROR(__xludf.DUMMYFUNCTION("""COMPUTED_VALUE"""),0)</f>
        <v>0</v>
      </c>
      <c r="I150" s="19">
        <f ca="1">IFERROR(__xludf.DUMMYFUNCTION("""COMPUTED_VALUE"""),100)</f>
        <v>100</v>
      </c>
      <c r="J150" s="19">
        <f ca="1">IFERROR(__xludf.DUMMYFUNCTION("""COMPUTED_VALUE"""),0)</f>
        <v>0</v>
      </c>
      <c r="K150" s="20">
        <f ca="1">IFERROR(__xludf.DUMMYFUNCTION("""COMPUTED_VALUE"""),35)</f>
        <v>35</v>
      </c>
      <c r="L150" s="20">
        <f ca="1">IFERROR(__xludf.DUMMYFUNCTION("""COMPUTED_VALUE"""),0)</f>
        <v>0</v>
      </c>
      <c r="M150" s="21">
        <f ca="1">IFERROR(__xludf.DUMMYFUNCTION("""COMPUTED_VALUE"""),37)</f>
        <v>37</v>
      </c>
      <c r="N150" s="21">
        <f ca="1">IFERROR(__xludf.DUMMYFUNCTION("""COMPUTED_VALUE"""),0)</f>
        <v>0</v>
      </c>
      <c r="O150" s="22">
        <f ca="1">IFERROR(__xludf.DUMMYFUNCTION("""COMPUTED_VALUE"""),28)</f>
        <v>28</v>
      </c>
      <c r="P150" s="22">
        <f ca="1">IFERROR(__xludf.DUMMYFUNCTION("""COMPUTED_VALUE"""),0)</f>
        <v>0</v>
      </c>
      <c r="Q150" s="23">
        <f ca="1">IFERROR(__xludf.DUMMYFUNCTION("""COMPUTED_VALUE"""),325)</f>
        <v>325</v>
      </c>
      <c r="R150" s="23">
        <f ca="1">IFERROR(__xludf.DUMMYFUNCTION("""COMPUTED_VALUE"""),0)</f>
        <v>0</v>
      </c>
      <c r="S150" s="24" t="str">
        <f ca="1">IFERROR(__xludf.DUMMYFUNCTION("""COMPUTED_VALUE"""),"No Guard")</f>
        <v>No Guard</v>
      </c>
      <c r="T150" s="25"/>
      <c r="U150" s="25"/>
      <c r="V150" s="25"/>
      <c r="W150" s="25"/>
      <c r="X150" s="25"/>
      <c r="Y150" s="25" t="str">
        <f ca="1">IFERROR(__xludf.DUMMYFUNCTION("""COMPUTED_VALUE"""),"Pythios Town (wild)")</f>
        <v>Pythios Town (wild)</v>
      </c>
    </row>
    <row r="151" spans="1:25" x14ac:dyDescent="0.25">
      <c r="A151" s="15" t="str">
        <f ca="1">IFERROR(__xludf.DUMMYFUNCTION("""COMPUTED_VALUE"""),"Doublade")</f>
        <v>Doublade</v>
      </c>
      <c r="B151" s="16">
        <f ca="1">IFERROR(__xludf.DUMMYFUNCTION("""COMPUTED_VALUE"""),150)</f>
        <v>150</v>
      </c>
      <c r="C151" s="3" t="str">
        <f ca="1">IFERROR(__xludf.DUMMYFUNCTION("""COMPUTED_VALUE"""),"Steel")</f>
        <v>Steel</v>
      </c>
      <c r="D151" s="3" t="str">
        <f ca="1">IFERROR(__xludf.DUMMYFUNCTION("""COMPUTED_VALUE"""),"Ghost")</f>
        <v>Ghost</v>
      </c>
      <c r="E151" s="17">
        <f ca="1">IFERROR(__xludf.DUMMYFUNCTION("""COMPUTED_VALUE"""),59)</f>
        <v>59</v>
      </c>
      <c r="F151" s="17">
        <f ca="1">IFERROR(__xludf.DUMMYFUNCTION("""COMPUTED_VALUE"""),0)</f>
        <v>0</v>
      </c>
      <c r="G151" s="18">
        <f ca="1">IFERROR(__xludf.DUMMYFUNCTION("""COMPUTED_VALUE"""),110)</f>
        <v>110</v>
      </c>
      <c r="H151" s="18">
        <f ca="1">IFERROR(__xludf.DUMMYFUNCTION("""COMPUTED_VALUE"""),0)</f>
        <v>0</v>
      </c>
      <c r="I151" s="19">
        <f ca="1">IFERROR(__xludf.DUMMYFUNCTION("""COMPUTED_VALUE"""),150)</f>
        <v>150</v>
      </c>
      <c r="J151" s="19">
        <f ca="1">IFERROR(__xludf.DUMMYFUNCTION("""COMPUTED_VALUE"""),0)</f>
        <v>0</v>
      </c>
      <c r="K151" s="20">
        <f ca="1">IFERROR(__xludf.DUMMYFUNCTION("""COMPUTED_VALUE"""),45)</f>
        <v>45</v>
      </c>
      <c r="L151" s="20">
        <f ca="1">IFERROR(__xludf.DUMMYFUNCTION("""COMPUTED_VALUE"""),0)</f>
        <v>0</v>
      </c>
      <c r="M151" s="21">
        <f ca="1">IFERROR(__xludf.DUMMYFUNCTION("""COMPUTED_VALUE"""),49)</f>
        <v>49</v>
      </c>
      <c r="N151" s="21">
        <f ca="1">IFERROR(__xludf.DUMMYFUNCTION("""COMPUTED_VALUE"""),0)</f>
        <v>0</v>
      </c>
      <c r="O151" s="22">
        <f ca="1">IFERROR(__xludf.DUMMYFUNCTION("""COMPUTED_VALUE"""),35)</f>
        <v>35</v>
      </c>
      <c r="P151" s="22">
        <f ca="1">IFERROR(__xludf.DUMMYFUNCTION("""COMPUTED_VALUE"""),0)</f>
        <v>0</v>
      </c>
      <c r="Q151" s="23">
        <f ca="1">IFERROR(__xludf.DUMMYFUNCTION("""COMPUTED_VALUE"""),448)</f>
        <v>448</v>
      </c>
      <c r="R151" s="23">
        <f ca="1">IFERROR(__xludf.DUMMYFUNCTION("""COMPUTED_VALUE"""),0)</f>
        <v>0</v>
      </c>
      <c r="S151" s="24" t="str">
        <f ca="1">IFERROR(__xludf.DUMMYFUNCTION("""COMPUTED_VALUE"""),"No Guard")</f>
        <v>No Guard</v>
      </c>
      <c r="T151" s="25"/>
      <c r="U151" s="25"/>
      <c r="V151" s="25" t="str">
        <f ca="1">IFERROR(__xludf.DUMMYFUNCTION("""COMPUTED_VALUE"""),"Lv. 32")</f>
        <v>Lv. 32</v>
      </c>
      <c r="W151" s="25"/>
      <c r="X151" s="25"/>
      <c r="Y151" s="25" t="str">
        <f ca="1">IFERROR(__xludf.DUMMYFUNCTION("""COMPUTED_VALUE"""),"Kaptara Island (wild)")</f>
        <v>Kaptara Island (wild)</v>
      </c>
    </row>
    <row r="152" spans="1:25" x14ac:dyDescent="0.25">
      <c r="A152" s="15" t="str">
        <f ca="1">IFERROR(__xludf.DUMMYFUNCTION("""COMPUTED_VALUE"""),"Aegislash")</f>
        <v>Aegislash</v>
      </c>
      <c r="B152" s="16">
        <f ca="1">IFERROR(__xludf.DUMMYFUNCTION("""COMPUTED_VALUE"""),151)</f>
        <v>151</v>
      </c>
      <c r="C152" s="3" t="str">
        <f ca="1">IFERROR(__xludf.DUMMYFUNCTION("""COMPUTED_VALUE"""),"Steel")</f>
        <v>Steel</v>
      </c>
      <c r="D152" s="3" t="str">
        <f ca="1">IFERROR(__xludf.DUMMYFUNCTION("""COMPUTED_VALUE"""),"Ghost")</f>
        <v>Ghost</v>
      </c>
      <c r="E152" s="17">
        <f ca="1">IFERROR(__xludf.DUMMYFUNCTION("""COMPUTED_VALUE"""),60)</f>
        <v>60</v>
      </c>
      <c r="F152" s="17">
        <f ca="1">IFERROR(__xludf.DUMMYFUNCTION("""COMPUTED_VALUE"""),0)</f>
        <v>0</v>
      </c>
      <c r="G152" s="18">
        <f ca="1">IFERROR(__xludf.DUMMYFUNCTION("""COMPUTED_VALUE"""),50)</f>
        <v>50</v>
      </c>
      <c r="H152" s="18">
        <f ca="1">IFERROR(__xludf.DUMMYFUNCTION("""COMPUTED_VALUE"""),0)</f>
        <v>0</v>
      </c>
      <c r="I152" s="19">
        <f ca="1">IFERROR(__xludf.DUMMYFUNCTION("""COMPUTED_VALUE"""),140)</f>
        <v>140</v>
      </c>
      <c r="J152" s="19">
        <f ca="1">IFERROR(__xludf.DUMMYFUNCTION("""COMPUTED_VALUE"""),0)</f>
        <v>0</v>
      </c>
      <c r="K152" s="20">
        <f ca="1">IFERROR(__xludf.DUMMYFUNCTION("""COMPUTED_VALUE"""),50)</f>
        <v>50</v>
      </c>
      <c r="L152" s="20">
        <f ca="1">IFERROR(__xludf.DUMMYFUNCTION("""COMPUTED_VALUE"""),0)</f>
        <v>0</v>
      </c>
      <c r="M152" s="21">
        <f ca="1">IFERROR(__xludf.DUMMYFUNCTION("""COMPUTED_VALUE"""),140)</f>
        <v>140</v>
      </c>
      <c r="N152" s="21">
        <f ca="1">IFERROR(__xludf.DUMMYFUNCTION("""COMPUTED_VALUE"""),0)</f>
        <v>0</v>
      </c>
      <c r="O152" s="22">
        <f ca="1">IFERROR(__xludf.DUMMYFUNCTION("""COMPUTED_VALUE"""),60)</f>
        <v>60</v>
      </c>
      <c r="P152" s="22">
        <f ca="1">IFERROR(__xludf.DUMMYFUNCTION("""COMPUTED_VALUE"""),0)</f>
        <v>0</v>
      </c>
      <c r="Q152" s="23">
        <f ca="1">IFERROR(__xludf.DUMMYFUNCTION("""COMPUTED_VALUE"""),500)</f>
        <v>500</v>
      </c>
      <c r="R152" s="23">
        <f ca="1">IFERROR(__xludf.DUMMYFUNCTION("""COMPUTED_VALUE"""),0)</f>
        <v>0</v>
      </c>
      <c r="S152" s="24" t="str">
        <f ca="1">IFERROR(__xludf.DUMMYFUNCTION("""COMPUTED_VALUE"""),"Stance Change")</f>
        <v>Stance Change</v>
      </c>
      <c r="T152" s="25"/>
      <c r="U152" s="25"/>
      <c r="V152" s="25" t="str">
        <f ca="1">IFERROR(__xludf.DUMMYFUNCTION("""COMPUTED_VALUE"""),"Dusk Stone")</f>
        <v>Dusk Stone</v>
      </c>
      <c r="W152" s="25"/>
      <c r="X152" s="25"/>
      <c r="Y152" s="25" t="str">
        <f ca="1">IFERROR(__xludf.DUMMYFUNCTION("""COMPUTED_VALUE"""),"The Stygian Caves (wild)")</f>
        <v>The Stygian Caves (wild)</v>
      </c>
    </row>
    <row r="153" spans="1:25" x14ac:dyDescent="0.25">
      <c r="A153" s="15" t="str">
        <f ca="1">IFERROR(__xludf.DUMMYFUNCTION("""COMPUTED_VALUE"""),"Dwebble")</f>
        <v>Dwebble</v>
      </c>
      <c r="B153" s="16">
        <f ca="1">IFERROR(__xludf.DUMMYFUNCTION("""COMPUTED_VALUE"""),152)</f>
        <v>152</v>
      </c>
      <c r="C153" s="3" t="str">
        <f ca="1">IFERROR(__xludf.DUMMYFUNCTION("""COMPUTED_VALUE"""),"Bug")</f>
        <v>Bug</v>
      </c>
      <c r="D153" s="3" t="str">
        <f ca="1">IFERROR(__xludf.DUMMYFUNCTION("""COMPUTED_VALUE"""),"Rock")</f>
        <v>Rock</v>
      </c>
      <c r="E153" s="17">
        <f ca="1">IFERROR(__xludf.DUMMYFUNCTION("""COMPUTED_VALUE"""),50)</f>
        <v>50</v>
      </c>
      <c r="F153" s="17">
        <f ca="1">IFERROR(__xludf.DUMMYFUNCTION("""COMPUTED_VALUE"""),0)</f>
        <v>0</v>
      </c>
      <c r="G153" s="18">
        <f ca="1">IFERROR(__xludf.DUMMYFUNCTION("""COMPUTED_VALUE"""),65)</f>
        <v>65</v>
      </c>
      <c r="H153" s="18">
        <f ca="1">IFERROR(__xludf.DUMMYFUNCTION("""COMPUTED_VALUE"""),0)</f>
        <v>0</v>
      </c>
      <c r="I153" s="19">
        <f ca="1">IFERROR(__xludf.DUMMYFUNCTION("""COMPUTED_VALUE"""),85)</f>
        <v>85</v>
      </c>
      <c r="J153" s="19">
        <f ca="1">IFERROR(__xludf.DUMMYFUNCTION("""COMPUTED_VALUE"""),0)</f>
        <v>0</v>
      </c>
      <c r="K153" s="20">
        <f ca="1">IFERROR(__xludf.DUMMYFUNCTION("""COMPUTED_VALUE"""),35)</f>
        <v>35</v>
      </c>
      <c r="L153" s="20">
        <f ca="1">IFERROR(__xludf.DUMMYFUNCTION("""COMPUTED_VALUE"""),0)</f>
        <v>0</v>
      </c>
      <c r="M153" s="21">
        <f ca="1">IFERROR(__xludf.DUMMYFUNCTION("""COMPUTED_VALUE"""),35)</f>
        <v>35</v>
      </c>
      <c r="N153" s="21">
        <f ca="1">IFERROR(__xludf.DUMMYFUNCTION("""COMPUTED_VALUE"""),0)</f>
        <v>0</v>
      </c>
      <c r="O153" s="22">
        <f ca="1">IFERROR(__xludf.DUMMYFUNCTION("""COMPUTED_VALUE"""),55)</f>
        <v>55</v>
      </c>
      <c r="P153" s="22">
        <f ca="1">IFERROR(__xludf.DUMMYFUNCTION("""COMPUTED_VALUE"""),0)</f>
        <v>0</v>
      </c>
      <c r="Q153" s="23">
        <f ca="1">IFERROR(__xludf.DUMMYFUNCTION("""COMPUTED_VALUE"""),325)</f>
        <v>325</v>
      </c>
      <c r="R153" s="23">
        <f ca="1">IFERROR(__xludf.DUMMYFUNCTION("""COMPUTED_VALUE"""),0)</f>
        <v>0</v>
      </c>
      <c r="S153" s="24" t="str">
        <f ca="1">IFERROR(__xludf.DUMMYFUNCTION("""COMPUTED_VALUE"""),"Sturdy")</f>
        <v>Sturdy</v>
      </c>
      <c r="T153" s="24" t="str">
        <f ca="1">IFERROR(__xludf.DUMMYFUNCTION("""COMPUTED_VALUE"""),"Shell Armor")</f>
        <v>Shell Armor</v>
      </c>
      <c r="U153" s="24" t="str">
        <f ca="1">IFERROR(__xludf.DUMMYFUNCTION("""COMPUTED_VALUE"""),"Weak Armor")</f>
        <v>Weak Armor</v>
      </c>
      <c r="V153" s="25"/>
      <c r="W153" s="25"/>
      <c r="X153" s="25" t="str">
        <f ca="1">IFERROR(__xludf.DUMMYFUNCTION("""COMPUTED_VALUE"""),"Hard Rock")</f>
        <v>Hard Rock</v>
      </c>
      <c r="Y153" s="25" t="str">
        <f ca="1">IFERROR(__xludf.DUMMYFUNCTION("""COMPUTED_VALUE"""),"Pythios Town, Marmaro Island (wild)")</f>
        <v>Pythios Town, Marmaro Island (wild)</v>
      </c>
    </row>
    <row r="154" spans="1:25" x14ac:dyDescent="0.25">
      <c r="A154" s="15" t="str">
        <f ca="1">IFERROR(__xludf.DUMMYFUNCTION("""COMPUTED_VALUE"""),"Crustle")</f>
        <v>Crustle</v>
      </c>
      <c r="B154" s="16">
        <f ca="1">IFERROR(__xludf.DUMMYFUNCTION("""COMPUTED_VALUE"""),153)</f>
        <v>153</v>
      </c>
      <c r="C154" s="3" t="str">
        <f ca="1">IFERROR(__xludf.DUMMYFUNCTION("""COMPUTED_VALUE"""),"Bug")</f>
        <v>Bug</v>
      </c>
      <c r="D154" s="3" t="str">
        <f ca="1">IFERROR(__xludf.DUMMYFUNCTION("""COMPUTED_VALUE"""),"Rock")</f>
        <v>Rock</v>
      </c>
      <c r="E154" s="17">
        <f ca="1">IFERROR(__xludf.DUMMYFUNCTION("""COMPUTED_VALUE"""),75)</f>
        <v>75</v>
      </c>
      <c r="F154" s="17">
        <f ca="1">IFERROR(__xludf.DUMMYFUNCTION("""COMPUTED_VALUE"""),5)</f>
        <v>5</v>
      </c>
      <c r="G154" s="18">
        <f ca="1">IFERROR(__xludf.DUMMYFUNCTION("""COMPUTED_VALUE"""),110)</f>
        <v>110</v>
      </c>
      <c r="H154" s="18">
        <f ca="1">IFERROR(__xludf.DUMMYFUNCTION("""COMPUTED_VALUE"""),15)</f>
        <v>15</v>
      </c>
      <c r="I154" s="19">
        <f ca="1">IFERROR(__xludf.DUMMYFUNCTION("""COMPUTED_VALUE"""),125)</f>
        <v>125</v>
      </c>
      <c r="J154" s="19">
        <f ca="1">IFERROR(__xludf.DUMMYFUNCTION("""COMPUTED_VALUE"""),0)</f>
        <v>0</v>
      </c>
      <c r="K154" s="20">
        <f ca="1">IFERROR(__xludf.DUMMYFUNCTION("""COMPUTED_VALUE"""),65)</f>
        <v>65</v>
      </c>
      <c r="L154" s="20">
        <f ca="1">IFERROR(__xludf.DUMMYFUNCTION("""COMPUTED_VALUE"""),0)</f>
        <v>0</v>
      </c>
      <c r="M154" s="21">
        <f ca="1">IFERROR(__xludf.DUMMYFUNCTION("""COMPUTED_VALUE"""),75)</f>
        <v>75</v>
      </c>
      <c r="N154" s="21">
        <f ca="1">IFERROR(__xludf.DUMMYFUNCTION("""COMPUTED_VALUE"""),0)</f>
        <v>0</v>
      </c>
      <c r="O154" s="22">
        <f ca="1">IFERROR(__xludf.DUMMYFUNCTION("""COMPUTED_VALUE"""),45)</f>
        <v>45</v>
      </c>
      <c r="P154" s="22">
        <f ca="1">IFERROR(__xludf.DUMMYFUNCTION("""COMPUTED_VALUE"""),0)</f>
        <v>0</v>
      </c>
      <c r="Q154" s="23">
        <f ca="1">IFERROR(__xludf.DUMMYFUNCTION("""COMPUTED_VALUE"""),495)</f>
        <v>495</v>
      </c>
      <c r="R154" s="23">
        <f ca="1">IFERROR(__xludf.DUMMYFUNCTION("""COMPUTED_VALUE"""),20)</f>
        <v>20</v>
      </c>
      <c r="S154" s="24" t="str">
        <f ca="1">IFERROR(__xludf.DUMMYFUNCTION("""COMPUTED_VALUE"""),"Sturdy")</f>
        <v>Sturdy</v>
      </c>
      <c r="T154" s="24" t="str">
        <f ca="1">IFERROR(__xludf.DUMMYFUNCTION("""COMPUTED_VALUE"""),"Shell Armor")</f>
        <v>Shell Armor</v>
      </c>
      <c r="U154" s="24" t="str">
        <f ca="1">IFERROR(__xludf.DUMMYFUNCTION("""COMPUTED_VALUE"""),"Weak Armor")</f>
        <v>Weak Armor</v>
      </c>
      <c r="V154" s="25" t="str">
        <f ca="1">IFERROR(__xludf.DUMMYFUNCTION("""COMPUTED_VALUE"""),"Lv. 30")</f>
        <v>Lv. 30</v>
      </c>
      <c r="W154" s="25"/>
      <c r="X154" s="25" t="str">
        <f ca="1">IFERROR(__xludf.DUMMYFUNCTION("""COMPUTED_VALUE"""),"Hard Rock")</f>
        <v>Hard Rock</v>
      </c>
      <c r="Y154" s="25" t="str">
        <f ca="1">IFERROR(__xludf.DUMMYFUNCTION("""COMPUTED_VALUE"""),"Dwebble (evolve)")</f>
        <v>Dwebble (evolve)</v>
      </c>
    </row>
    <row r="155" spans="1:25" x14ac:dyDescent="0.25">
      <c r="A155" s="15" t="str">
        <f ca="1">IFERROR(__xludf.DUMMYFUNCTION("""COMPUTED_VALUE"""),"Minior")</f>
        <v>Minior</v>
      </c>
      <c r="B155" s="16">
        <f ca="1">IFERROR(__xludf.DUMMYFUNCTION("""COMPUTED_VALUE"""),154)</f>
        <v>154</v>
      </c>
      <c r="C155" s="3" t="str">
        <f ca="1">IFERROR(__xludf.DUMMYFUNCTION("""COMPUTED_VALUE"""),"Rock")</f>
        <v>Rock</v>
      </c>
      <c r="D155" s="3" t="str">
        <f ca="1">IFERROR(__xludf.DUMMYFUNCTION("""COMPUTED_VALUE"""),"Flying")</f>
        <v>Flying</v>
      </c>
      <c r="E155" s="17">
        <f ca="1">IFERROR(__xludf.DUMMYFUNCTION("""COMPUTED_VALUE"""),60)</f>
        <v>60</v>
      </c>
      <c r="F155" s="17">
        <f ca="1">IFERROR(__xludf.DUMMYFUNCTION("""COMPUTED_VALUE"""),0)</f>
        <v>0</v>
      </c>
      <c r="G155" s="18">
        <f ca="1">IFERROR(__xludf.DUMMYFUNCTION("""COMPUTED_VALUE"""),70)</f>
        <v>70</v>
      </c>
      <c r="H155" s="18">
        <f ca="1">IFERROR(__xludf.DUMMYFUNCTION("""COMPUTED_VALUE"""),10)</f>
        <v>10</v>
      </c>
      <c r="I155" s="19">
        <f ca="1">IFERROR(__xludf.DUMMYFUNCTION("""COMPUTED_VALUE"""),120)</f>
        <v>120</v>
      </c>
      <c r="J155" s="19">
        <f ca="1">IFERROR(__xludf.DUMMYFUNCTION("""COMPUTED_VALUE"""),20)</f>
        <v>20</v>
      </c>
      <c r="K155" s="20">
        <f ca="1">IFERROR(__xludf.DUMMYFUNCTION("""COMPUTED_VALUE"""),60)</f>
        <v>60</v>
      </c>
      <c r="L155" s="20">
        <f ca="1">IFERROR(__xludf.DUMMYFUNCTION("""COMPUTED_VALUE"""),0)</f>
        <v>0</v>
      </c>
      <c r="M155" s="21">
        <f ca="1">IFERROR(__xludf.DUMMYFUNCTION("""COMPUTED_VALUE"""),120)</f>
        <v>120</v>
      </c>
      <c r="N155" s="21">
        <f ca="1">IFERROR(__xludf.DUMMYFUNCTION("""COMPUTED_VALUE"""),20)</f>
        <v>20</v>
      </c>
      <c r="O155" s="22">
        <f ca="1">IFERROR(__xludf.DUMMYFUNCTION("""COMPUTED_VALUE"""),60)</f>
        <v>60</v>
      </c>
      <c r="P155" s="22">
        <f ca="1">IFERROR(__xludf.DUMMYFUNCTION("""COMPUTED_VALUE"""),0)</f>
        <v>0</v>
      </c>
      <c r="Q155" s="23">
        <f ca="1">IFERROR(__xludf.DUMMYFUNCTION("""COMPUTED_VALUE"""),490)</f>
        <v>490</v>
      </c>
      <c r="R155" s="23">
        <f ca="1">IFERROR(__xludf.DUMMYFUNCTION("""COMPUTED_VALUE"""),50)</f>
        <v>50</v>
      </c>
      <c r="S155" s="24" t="str">
        <f ca="1">IFERROR(__xludf.DUMMYFUNCTION("""COMPUTED_VALUE"""),"Shields Down")</f>
        <v>Shields Down</v>
      </c>
      <c r="T155" s="25"/>
      <c r="U155" s="25"/>
      <c r="V155" s="25"/>
      <c r="W155" s="25"/>
      <c r="X155" s="25" t="str">
        <f ca="1">IFERROR(__xludf.DUMMYFUNCTION("""COMPUTED_VALUE"""),"Star Piece")</f>
        <v>Star Piece</v>
      </c>
      <c r="Y155" s="25" t="str">
        <f ca="1">IFERROR(__xludf.DUMMYFUNCTION("""COMPUTED_VALUE"""),"Erinys Path W, Erinys Path E (wild)")</f>
        <v>Erinys Path W, Erinys Path E (wild)</v>
      </c>
    </row>
    <row r="156" spans="1:25" x14ac:dyDescent="0.25">
      <c r="A156" s="15" t="str">
        <f ca="1">IFERROR(__xludf.DUMMYFUNCTION("""COMPUTED_VALUE"""),"Gastly")</f>
        <v>Gastly</v>
      </c>
      <c r="B156" s="16">
        <f ca="1">IFERROR(__xludf.DUMMYFUNCTION("""COMPUTED_VALUE"""),155)</f>
        <v>155</v>
      </c>
      <c r="C156" s="3" t="str">
        <f ca="1">IFERROR(__xludf.DUMMYFUNCTION("""COMPUTED_VALUE"""),"Ghost")</f>
        <v>Ghost</v>
      </c>
      <c r="D156" s="3" t="str">
        <f ca="1">IFERROR(__xludf.DUMMYFUNCTION("""COMPUTED_VALUE"""),"Poison")</f>
        <v>Poison</v>
      </c>
      <c r="E156" s="17">
        <f ca="1">IFERROR(__xludf.DUMMYFUNCTION("""COMPUTED_VALUE"""),30)</f>
        <v>30</v>
      </c>
      <c r="F156" s="17">
        <f ca="1">IFERROR(__xludf.DUMMYFUNCTION("""COMPUTED_VALUE"""),0)</f>
        <v>0</v>
      </c>
      <c r="G156" s="18">
        <f ca="1">IFERROR(__xludf.DUMMYFUNCTION("""COMPUTED_VALUE"""),35)</f>
        <v>35</v>
      </c>
      <c r="H156" s="18">
        <f ca="1">IFERROR(__xludf.DUMMYFUNCTION("""COMPUTED_VALUE"""),0)</f>
        <v>0</v>
      </c>
      <c r="I156" s="19">
        <f ca="1">IFERROR(__xludf.DUMMYFUNCTION("""COMPUTED_VALUE"""),30)</f>
        <v>30</v>
      </c>
      <c r="J156" s="19">
        <f ca="1">IFERROR(__xludf.DUMMYFUNCTION("""COMPUTED_VALUE"""),0)</f>
        <v>0</v>
      </c>
      <c r="K156" s="20">
        <f ca="1">IFERROR(__xludf.DUMMYFUNCTION("""COMPUTED_VALUE"""),100)</f>
        <v>100</v>
      </c>
      <c r="L156" s="20">
        <f ca="1">IFERROR(__xludf.DUMMYFUNCTION("""COMPUTED_VALUE"""),0)</f>
        <v>0</v>
      </c>
      <c r="M156" s="21">
        <f ca="1">IFERROR(__xludf.DUMMYFUNCTION("""COMPUTED_VALUE"""),35)</f>
        <v>35</v>
      </c>
      <c r="N156" s="21">
        <f ca="1">IFERROR(__xludf.DUMMYFUNCTION("""COMPUTED_VALUE"""),0)</f>
        <v>0</v>
      </c>
      <c r="O156" s="22">
        <f ca="1">IFERROR(__xludf.DUMMYFUNCTION("""COMPUTED_VALUE"""),80)</f>
        <v>80</v>
      </c>
      <c r="P156" s="22">
        <f ca="1">IFERROR(__xludf.DUMMYFUNCTION("""COMPUTED_VALUE"""),0)</f>
        <v>0</v>
      </c>
      <c r="Q156" s="23">
        <f ca="1">IFERROR(__xludf.DUMMYFUNCTION("""COMPUTED_VALUE"""),310)</f>
        <v>310</v>
      </c>
      <c r="R156" s="23">
        <f ca="1">IFERROR(__xludf.DUMMYFUNCTION("""COMPUTED_VALUE"""),0)</f>
        <v>0</v>
      </c>
      <c r="S156" s="24" t="str">
        <f ca="1">IFERROR(__xludf.DUMMYFUNCTION("""COMPUTED_VALUE"""),"Levitate")</f>
        <v>Levitate</v>
      </c>
      <c r="T156" s="25"/>
      <c r="U156" s="25"/>
      <c r="V156" s="25"/>
      <c r="W156" s="25"/>
      <c r="X156" s="25"/>
      <c r="Y156" s="25" t="str">
        <f ca="1">IFERROR(__xludf.DUMMYFUNCTION("""COMPUTED_VALUE"""),"Erinys Path E (wild)")</f>
        <v>Erinys Path E (wild)</v>
      </c>
    </row>
    <row r="157" spans="1:25" x14ac:dyDescent="0.25">
      <c r="A157" s="15" t="str">
        <f ca="1">IFERROR(__xludf.DUMMYFUNCTION("""COMPUTED_VALUE"""),"Haunter")</f>
        <v>Haunter</v>
      </c>
      <c r="B157" s="16">
        <f ca="1">IFERROR(__xludf.DUMMYFUNCTION("""COMPUTED_VALUE"""),156)</f>
        <v>156</v>
      </c>
      <c r="C157" s="3" t="str">
        <f ca="1">IFERROR(__xludf.DUMMYFUNCTION("""COMPUTED_VALUE"""),"Ghost")</f>
        <v>Ghost</v>
      </c>
      <c r="D157" s="3" t="str">
        <f ca="1">IFERROR(__xludf.DUMMYFUNCTION("""COMPUTED_VALUE"""),"Poison")</f>
        <v>Poison</v>
      </c>
      <c r="E157" s="17">
        <f ca="1">IFERROR(__xludf.DUMMYFUNCTION("""COMPUTED_VALUE"""),45)</f>
        <v>45</v>
      </c>
      <c r="F157" s="17">
        <f ca="1">IFERROR(__xludf.DUMMYFUNCTION("""COMPUTED_VALUE"""),0)</f>
        <v>0</v>
      </c>
      <c r="G157" s="18">
        <f ca="1">IFERROR(__xludf.DUMMYFUNCTION("""COMPUTED_VALUE"""),50)</f>
        <v>50</v>
      </c>
      <c r="H157" s="18">
        <f ca="1">IFERROR(__xludf.DUMMYFUNCTION("""COMPUTED_VALUE"""),0)</f>
        <v>0</v>
      </c>
      <c r="I157" s="19">
        <f ca="1">IFERROR(__xludf.DUMMYFUNCTION("""COMPUTED_VALUE"""),45)</f>
        <v>45</v>
      </c>
      <c r="J157" s="19">
        <f ca="1">IFERROR(__xludf.DUMMYFUNCTION("""COMPUTED_VALUE"""),0)</f>
        <v>0</v>
      </c>
      <c r="K157" s="20">
        <f ca="1">IFERROR(__xludf.DUMMYFUNCTION("""COMPUTED_VALUE"""),115)</f>
        <v>115</v>
      </c>
      <c r="L157" s="20">
        <f ca="1">IFERROR(__xludf.DUMMYFUNCTION("""COMPUTED_VALUE"""),0)</f>
        <v>0</v>
      </c>
      <c r="M157" s="21">
        <f ca="1">IFERROR(__xludf.DUMMYFUNCTION("""COMPUTED_VALUE"""),55)</f>
        <v>55</v>
      </c>
      <c r="N157" s="21">
        <f ca="1">IFERROR(__xludf.DUMMYFUNCTION("""COMPUTED_VALUE"""),0)</f>
        <v>0</v>
      </c>
      <c r="O157" s="22">
        <f ca="1">IFERROR(__xludf.DUMMYFUNCTION("""COMPUTED_VALUE"""),95)</f>
        <v>95</v>
      </c>
      <c r="P157" s="22">
        <f ca="1">IFERROR(__xludf.DUMMYFUNCTION("""COMPUTED_VALUE"""),0)</f>
        <v>0</v>
      </c>
      <c r="Q157" s="23">
        <f ca="1">IFERROR(__xludf.DUMMYFUNCTION("""COMPUTED_VALUE"""),405)</f>
        <v>405</v>
      </c>
      <c r="R157" s="23">
        <f ca="1">IFERROR(__xludf.DUMMYFUNCTION("""COMPUTED_VALUE"""),0)</f>
        <v>0</v>
      </c>
      <c r="S157" s="24" t="str">
        <f ca="1">IFERROR(__xludf.DUMMYFUNCTION("""COMPUTED_VALUE"""),"Levitate")</f>
        <v>Levitate</v>
      </c>
      <c r="T157" s="25"/>
      <c r="U157" s="25"/>
      <c r="V157" s="25" t="str">
        <f ca="1">IFERROR(__xludf.DUMMYFUNCTION("""COMPUTED_VALUE"""),"Lv. 25")</f>
        <v>Lv. 25</v>
      </c>
      <c r="W157" s="25"/>
      <c r="X157" s="25"/>
      <c r="Y157" s="25" t="str">
        <f ca="1">IFERROR(__xludf.DUMMYFUNCTION("""COMPUTED_VALUE"""),"Gastly (evolve)")</f>
        <v>Gastly (evolve)</v>
      </c>
    </row>
    <row r="158" spans="1:25" x14ac:dyDescent="0.25">
      <c r="A158" s="15" t="str">
        <f ca="1">IFERROR(__xludf.DUMMYFUNCTION("""COMPUTED_VALUE"""),"Gengar")</f>
        <v>Gengar</v>
      </c>
      <c r="B158" s="16">
        <f ca="1">IFERROR(__xludf.DUMMYFUNCTION("""COMPUTED_VALUE"""),157)</f>
        <v>157</v>
      </c>
      <c r="C158" s="3" t="str">
        <f ca="1">IFERROR(__xludf.DUMMYFUNCTION("""COMPUTED_VALUE"""),"Ghost")</f>
        <v>Ghost</v>
      </c>
      <c r="D158" s="3" t="str">
        <f ca="1">IFERROR(__xludf.DUMMYFUNCTION("""COMPUTED_VALUE"""),"Poison")</f>
        <v>Poison</v>
      </c>
      <c r="E158" s="17">
        <f ca="1">IFERROR(__xludf.DUMMYFUNCTION("""COMPUTED_VALUE"""),60)</f>
        <v>60</v>
      </c>
      <c r="F158" s="17">
        <f ca="1">IFERROR(__xludf.DUMMYFUNCTION("""COMPUTED_VALUE"""),0)</f>
        <v>0</v>
      </c>
      <c r="G158" s="18">
        <f ca="1">IFERROR(__xludf.DUMMYFUNCTION("""COMPUTED_VALUE"""),65)</f>
        <v>65</v>
      </c>
      <c r="H158" s="18">
        <f ca="1">IFERROR(__xludf.DUMMYFUNCTION("""COMPUTED_VALUE"""),0)</f>
        <v>0</v>
      </c>
      <c r="I158" s="19">
        <f ca="1">IFERROR(__xludf.DUMMYFUNCTION("""COMPUTED_VALUE"""),60)</f>
        <v>60</v>
      </c>
      <c r="J158" s="19">
        <f ca="1">IFERROR(__xludf.DUMMYFUNCTION("""COMPUTED_VALUE"""),0)</f>
        <v>0</v>
      </c>
      <c r="K158" s="20">
        <f ca="1">IFERROR(__xludf.DUMMYFUNCTION("""COMPUTED_VALUE"""),130)</f>
        <v>130</v>
      </c>
      <c r="L158" s="20">
        <f ca="1">IFERROR(__xludf.DUMMYFUNCTION("""COMPUTED_VALUE"""),0)</f>
        <v>0</v>
      </c>
      <c r="M158" s="21">
        <f ca="1">IFERROR(__xludf.DUMMYFUNCTION("""COMPUTED_VALUE"""),75)</f>
        <v>75</v>
      </c>
      <c r="N158" s="21">
        <f ca="1">IFERROR(__xludf.DUMMYFUNCTION("""COMPUTED_VALUE"""),0)</f>
        <v>0</v>
      </c>
      <c r="O158" s="22">
        <f ca="1">IFERROR(__xludf.DUMMYFUNCTION("""COMPUTED_VALUE"""),110)</f>
        <v>110</v>
      </c>
      <c r="P158" s="22">
        <f ca="1">IFERROR(__xludf.DUMMYFUNCTION("""COMPUTED_VALUE"""),0)</f>
        <v>0</v>
      </c>
      <c r="Q158" s="23">
        <f ca="1">IFERROR(__xludf.DUMMYFUNCTION("""COMPUTED_VALUE"""),500)</f>
        <v>500</v>
      </c>
      <c r="R158" s="23">
        <f ca="1">IFERROR(__xludf.DUMMYFUNCTION("""COMPUTED_VALUE"""),0)</f>
        <v>0</v>
      </c>
      <c r="S158" s="24" t="str">
        <f ca="1">IFERROR(__xludf.DUMMYFUNCTION("""COMPUTED_VALUE"""),"Levitate")</f>
        <v>Levitate</v>
      </c>
      <c r="T158" s="25"/>
      <c r="U158" s="25"/>
      <c r="V158" s="25" t="str">
        <f ca="1">IFERROR(__xludf.DUMMYFUNCTION("""COMPUTED_VALUE"""),"Linking Cord")</f>
        <v>Linking Cord</v>
      </c>
      <c r="W158" s="25"/>
      <c r="X158" s="25"/>
      <c r="Y158" s="25" t="str">
        <f ca="1">IFERROR(__xludf.DUMMYFUNCTION("""COMPUTED_VALUE"""),"Haunter (evolve)")</f>
        <v>Haunter (evolve)</v>
      </c>
    </row>
    <row r="159" spans="1:25" x14ac:dyDescent="0.25">
      <c r="A159" s="15" t="str">
        <f ca="1">IFERROR(__xludf.DUMMYFUNCTION("""COMPUTED_VALUE"""),"Baltoy")</f>
        <v>Baltoy</v>
      </c>
      <c r="B159" s="16">
        <f ca="1">IFERROR(__xludf.DUMMYFUNCTION("""COMPUTED_VALUE"""),158)</f>
        <v>158</v>
      </c>
      <c r="C159" s="3" t="str">
        <f ca="1">IFERROR(__xludf.DUMMYFUNCTION("""COMPUTED_VALUE"""),"Ground")</f>
        <v>Ground</v>
      </c>
      <c r="D159" s="3" t="str">
        <f ca="1">IFERROR(__xludf.DUMMYFUNCTION("""COMPUTED_VALUE"""),"Psychic")</f>
        <v>Psychic</v>
      </c>
      <c r="E159" s="17">
        <f ca="1">IFERROR(__xludf.DUMMYFUNCTION("""COMPUTED_VALUE"""),50)</f>
        <v>50</v>
      </c>
      <c r="F159" s="17">
        <f ca="1">IFERROR(__xludf.DUMMYFUNCTION("""COMPUTED_VALUE"""),10)</f>
        <v>10</v>
      </c>
      <c r="G159" s="18">
        <f ca="1">IFERROR(__xludf.DUMMYFUNCTION("""COMPUTED_VALUE"""),40)</f>
        <v>40</v>
      </c>
      <c r="H159" s="18">
        <f ca="1">IFERROR(__xludf.DUMMYFUNCTION("""COMPUTED_VALUE"""),0)</f>
        <v>0</v>
      </c>
      <c r="I159" s="19">
        <f ca="1">IFERROR(__xludf.DUMMYFUNCTION("""COMPUTED_VALUE"""),55)</f>
        <v>55</v>
      </c>
      <c r="J159" s="19">
        <f ca="1">IFERROR(__xludf.DUMMYFUNCTION("""COMPUTED_VALUE"""),0)</f>
        <v>0</v>
      </c>
      <c r="K159" s="20">
        <f ca="1">IFERROR(__xludf.DUMMYFUNCTION("""COMPUTED_VALUE"""),40)</f>
        <v>40</v>
      </c>
      <c r="L159" s="20">
        <f ca="1">IFERROR(__xludf.DUMMYFUNCTION("""COMPUTED_VALUE"""),0)</f>
        <v>0</v>
      </c>
      <c r="M159" s="21">
        <f ca="1">IFERROR(__xludf.DUMMYFUNCTION("""COMPUTED_VALUE"""),70)</f>
        <v>70</v>
      </c>
      <c r="N159" s="21">
        <f ca="1">IFERROR(__xludf.DUMMYFUNCTION("""COMPUTED_VALUE"""),0)</f>
        <v>0</v>
      </c>
      <c r="O159" s="22">
        <f ca="1">IFERROR(__xludf.DUMMYFUNCTION("""COMPUTED_VALUE"""),55)</f>
        <v>55</v>
      </c>
      <c r="P159" s="22">
        <f ca="1">IFERROR(__xludf.DUMMYFUNCTION("""COMPUTED_VALUE"""),0)</f>
        <v>0</v>
      </c>
      <c r="Q159" s="23">
        <f ca="1">IFERROR(__xludf.DUMMYFUNCTION("""COMPUTED_VALUE"""),310)</f>
        <v>310</v>
      </c>
      <c r="R159" s="23">
        <f ca="1">IFERROR(__xludf.DUMMYFUNCTION("""COMPUTED_VALUE"""),10)</f>
        <v>10</v>
      </c>
      <c r="S159" s="24" t="str">
        <f ca="1">IFERROR(__xludf.DUMMYFUNCTION("""COMPUTED_VALUE"""),"Levitate")</f>
        <v>Levitate</v>
      </c>
      <c r="T159" s="25"/>
      <c r="U159" s="24" t="str">
        <f ca="1">IFERROR(__xludf.DUMMYFUNCTION("""COMPUTED_VALUE"""),"Hustle")</f>
        <v>Hustle</v>
      </c>
      <c r="V159" s="25"/>
      <c r="W159" s="25"/>
      <c r="X159" s="25" t="str">
        <f ca="1">IFERROR(__xludf.DUMMYFUNCTION("""COMPUTED_VALUE"""),"Light Clay")</f>
        <v>Light Clay</v>
      </c>
      <c r="Y159" s="25" t="str">
        <f ca="1">IFERROR(__xludf.DUMMYFUNCTION("""COMPUTED_VALUE"""),"Erinys Path W, Palati City (wild)")</f>
        <v>Erinys Path W, Palati City (wild)</v>
      </c>
    </row>
    <row r="160" spans="1:25" x14ac:dyDescent="0.25">
      <c r="A160" s="15" t="str">
        <f ca="1">IFERROR(__xludf.DUMMYFUNCTION("""COMPUTED_VALUE"""),"Claydol")</f>
        <v>Claydol</v>
      </c>
      <c r="B160" s="16">
        <f ca="1">IFERROR(__xludf.DUMMYFUNCTION("""COMPUTED_VALUE"""),159)</f>
        <v>159</v>
      </c>
      <c r="C160" s="3" t="str">
        <f ca="1">IFERROR(__xludf.DUMMYFUNCTION("""COMPUTED_VALUE"""),"Ground")</f>
        <v>Ground</v>
      </c>
      <c r="D160" s="3" t="str">
        <f ca="1">IFERROR(__xludf.DUMMYFUNCTION("""COMPUTED_VALUE"""),"Psychic")</f>
        <v>Psychic</v>
      </c>
      <c r="E160" s="17">
        <f ca="1">IFERROR(__xludf.DUMMYFUNCTION("""COMPUTED_VALUE"""),75)</f>
        <v>75</v>
      </c>
      <c r="F160" s="17">
        <f ca="1">IFERROR(__xludf.DUMMYFUNCTION("""COMPUTED_VALUE"""),15)</f>
        <v>15</v>
      </c>
      <c r="G160" s="18">
        <f ca="1">IFERROR(__xludf.DUMMYFUNCTION("""COMPUTED_VALUE"""),65)</f>
        <v>65</v>
      </c>
      <c r="H160" s="18">
        <f ca="1">IFERROR(__xludf.DUMMYFUNCTION("""COMPUTED_VALUE"""),-5)</f>
        <v>-5</v>
      </c>
      <c r="I160" s="19">
        <f ca="1">IFERROR(__xludf.DUMMYFUNCTION("""COMPUTED_VALUE"""),105)</f>
        <v>105</v>
      </c>
      <c r="J160" s="19">
        <f ca="1">IFERROR(__xludf.DUMMYFUNCTION("""COMPUTED_VALUE"""),0)</f>
        <v>0</v>
      </c>
      <c r="K160" s="20">
        <f ca="1">IFERROR(__xludf.DUMMYFUNCTION("""COMPUTED_VALUE"""),70)</f>
        <v>70</v>
      </c>
      <c r="L160" s="20">
        <f ca="1">IFERROR(__xludf.DUMMYFUNCTION("""COMPUTED_VALUE"""),0)</f>
        <v>0</v>
      </c>
      <c r="M160" s="21">
        <f ca="1">IFERROR(__xludf.DUMMYFUNCTION("""COMPUTED_VALUE"""),120)</f>
        <v>120</v>
      </c>
      <c r="N160" s="21">
        <f ca="1">IFERROR(__xludf.DUMMYFUNCTION("""COMPUTED_VALUE"""),0)</f>
        <v>0</v>
      </c>
      <c r="O160" s="22">
        <f ca="1">IFERROR(__xludf.DUMMYFUNCTION("""COMPUTED_VALUE"""),75)</f>
        <v>75</v>
      </c>
      <c r="P160" s="22">
        <f ca="1">IFERROR(__xludf.DUMMYFUNCTION("""COMPUTED_VALUE"""),0)</f>
        <v>0</v>
      </c>
      <c r="Q160" s="23">
        <f ca="1">IFERROR(__xludf.DUMMYFUNCTION("""COMPUTED_VALUE"""),510)</f>
        <v>510</v>
      </c>
      <c r="R160" s="23">
        <f ca="1">IFERROR(__xludf.DUMMYFUNCTION("""COMPUTED_VALUE"""),10)</f>
        <v>10</v>
      </c>
      <c r="S160" s="24" t="str">
        <f ca="1">IFERROR(__xludf.DUMMYFUNCTION("""COMPUTED_VALUE"""),"Levitate")</f>
        <v>Levitate</v>
      </c>
      <c r="T160" s="25"/>
      <c r="U160" s="24" t="str">
        <f ca="1">IFERROR(__xludf.DUMMYFUNCTION("""COMPUTED_VALUE"""),"Huge Power")</f>
        <v>Huge Power</v>
      </c>
      <c r="V160" s="25" t="str">
        <f ca="1">IFERROR(__xludf.DUMMYFUNCTION("""COMPUTED_VALUE"""),"Lv. 36")</f>
        <v>Lv. 36</v>
      </c>
      <c r="W160" s="25"/>
      <c r="X160" s="25" t="str">
        <f ca="1">IFERROR(__xludf.DUMMYFUNCTION("""COMPUTED_VALUE"""),"Light Clay")</f>
        <v>Light Clay</v>
      </c>
      <c r="Y160" s="25" t="str">
        <f ca="1">IFERROR(__xludf.DUMMYFUNCTION("""COMPUTED_VALUE"""),"Kaptara Island, The Stygian Caves (wild)")</f>
        <v>Kaptara Island, The Stygian Caves (wild)</v>
      </c>
    </row>
    <row r="161" spans="1:25" x14ac:dyDescent="0.25">
      <c r="A161" s="15" t="str">
        <f ca="1">IFERROR(__xludf.DUMMYFUNCTION("""COMPUTED_VALUE"""),"Salandit")</f>
        <v>Salandit</v>
      </c>
      <c r="B161" s="16">
        <f ca="1">IFERROR(__xludf.DUMMYFUNCTION("""COMPUTED_VALUE"""),160)</f>
        <v>160</v>
      </c>
      <c r="C161" s="3" t="str">
        <f ca="1">IFERROR(__xludf.DUMMYFUNCTION("""COMPUTED_VALUE"""),"Poison")</f>
        <v>Poison</v>
      </c>
      <c r="D161" s="3" t="str">
        <f ca="1">IFERROR(__xludf.DUMMYFUNCTION("""COMPUTED_VALUE"""),"Fire")</f>
        <v>Fire</v>
      </c>
      <c r="E161" s="17">
        <f ca="1">IFERROR(__xludf.DUMMYFUNCTION("""COMPUTED_VALUE"""),48)</f>
        <v>48</v>
      </c>
      <c r="F161" s="17">
        <f ca="1">IFERROR(__xludf.DUMMYFUNCTION("""COMPUTED_VALUE"""),0)</f>
        <v>0</v>
      </c>
      <c r="G161" s="18">
        <f ca="1">IFERROR(__xludf.DUMMYFUNCTION("""COMPUTED_VALUE"""),44)</f>
        <v>44</v>
      </c>
      <c r="H161" s="18">
        <f ca="1">IFERROR(__xludf.DUMMYFUNCTION("""COMPUTED_VALUE"""),0)</f>
        <v>0</v>
      </c>
      <c r="I161" s="19">
        <f ca="1">IFERROR(__xludf.DUMMYFUNCTION("""COMPUTED_VALUE"""),40)</f>
        <v>40</v>
      </c>
      <c r="J161" s="19">
        <f ca="1">IFERROR(__xludf.DUMMYFUNCTION("""COMPUTED_VALUE"""),0)</f>
        <v>0</v>
      </c>
      <c r="K161" s="20">
        <f ca="1">IFERROR(__xludf.DUMMYFUNCTION("""COMPUTED_VALUE"""),71)</f>
        <v>71</v>
      </c>
      <c r="L161" s="20">
        <f ca="1">IFERROR(__xludf.DUMMYFUNCTION("""COMPUTED_VALUE"""),0)</f>
        <v>0</v>
      </c>
      <c r="M161" s="21">
        <f ca="1">IFERROR(__xludf.DUMMYFUNCTION("""COMPUTED_VALUE"""),40)</f>
        <v>40</v>
      </c>
      <c r="N161" s="21">
        <f ca="1">IFERROR(__xludf.DUMMYFUNCTION("""COMPUTED_VALUE"""),0)</f>
        <v>0</v>
      </c>
      <c r="O161" s="22">
        <f ca="1">IFERROR(__xludf.DUMMYFUNCTION("""COMPUTED_VALUE"""),77)</f>
        <v>77</v>
      </c>
      <c r="P161" s="22">
        <f ca="1">IFERROR(__xludf.DUMMYFUNCTION("""COMPUTED_VALUE"""),0)</f>
        <v>0</v>
      </c>
      <c r="Q161" s="23">
        <f ca="1">IFERROR(__xludf.DUMMYFUNCTION("""COMPUTED_VALUE"""),320)</f>
        <v>320</v>
      </c>
      <c r="R161" s="23">
        <f ca="1">IFERROR(__xludf.DUMMYFUNCTION("""COMPUTED_VALUE"""),0)</f>
        <v>0</v>
      </c>
      <c r="S161" s="24" t="str">
        <f ca="1">IFERROR(__xludf.DUMMYFUNCTION("""COMPUTED_VALUE"""),"Corrosion")</f>
        <v>Corrosion</v>
      </c>
      <c r="T161" s="25"/>
      <c r="U161" s="24" t="str">
        <f ca="1">IFERROR(__xludf.DUMMYFUNCTION("""COMPUTED_VALUE"""),"Oblivious")</f>
        <v>Oblivious</v>
      </c>
      <c r="V161" s="25"/>
      <c r="W161" s="25"/>
      <c r="X161" s="25" t="str">
        <f ca="1">IFERROR(__xludf.DUMMYFUNCTION("""COMPUTED_VALUE"""),"Smoke Ball")</f>
        <v>Smoke Ball</v>
      </c>
      <c r="Y161" s="25" t="str">
        <f ca="1">IFERROR(__xludf.DUMMYFUNCTION("""COMPUTED_VALUE"""),"Erinys Path E, Marmaro Island, Areios Hideout (wild)")</f>
        <v>Erinys Path E, Marmaro Island, Areios Hideout (wild)</v>
      </c>
    </row>
    <row r="162" spans="1:25" x14ac:dyDescent="0.25">
      <c r="A162" s="15" t="str">
        <f ca="1">IFERROR(__xludf.DUMMYFUNCTION("""COMPUTED_VALUE"""),"Salazzle")</f>
        <v>Salazzle</v>
      </c>
      <c r="B162" s="16">
        <f ca="1">IFERROR(__xludf.DUMMYFUNCTION("""COMPUTED_VALUE"""),161)</f>
        <v>161</v>
      </c>
      <c r="C162" s="3" t="str">
        <f ca="1">IFERROR(__xludf.DUMMYFUNCTION("""COMPUTED_VALUE"""),"Poison")</f>
        <v>Poison</v>
      </c>
      <c r="D162" s="3" t="str">
        <f ca="1">IFERROR(__xludf.DUMMYFUNCTION("""COMPUTED_VALUE"""),"Fire")</f>
        <v>Fire</v>
      </c>
      <c r="E162" s="17">
        <f ca="1">IFERROR(__xludf.DUMMYFUNCTION("""COMPUTED_VALUE"""),68)</f>
        <v>68</v>
      </c>
      <c r="F162" s="17">
        <f ca="1">IFERROR(__xludf.DUMMYFUNCTION("""COMPUTED_VALUE"""),0)</f>
        <v>0</v>
      </c>
      <c r="G162" s="18">
        <f ca="1">IFERROR(__xludf.DUMMYFUNCTION("""COMPUTED_VALUE"""),74)</f>
        <v>74</v>
      </c>
      <c r="H162" s="18">
        <f ca="1">IFERROR(__xludf.DUMMYFUNCTION("""COMPUTED_VALUE"""),10)</f>
        <v>10</v>
      </c>
      <c r="I162" s="19">
        <f ca="1">IFERROR(__xludf.DUMMYFUNCTION("""COMPUTED_VALUE"""),60)</f>
        <v>60</v>
      </c>
      <c r="J162" s="19">
        <f ca="1">IFERROR(__xludf.DUMMYFUNCTION("""COMPUTED_VALUE"""),0)</f>
        <v>0</v>
      </c>
      <c r="K162" s="20">
        <f ca="1">IFERROR(__xludf.DUMMYFUNCTION("""COMPUTED_VALUE"""),111)</f>
        <v>111</v>
      </c>
      <c r="L162" s="20">
        <f ca="1">IFERROR(__xludf.DUMMYFUNCTION("""COMPUTED_VALUE"""),0)</f>
        <v>0</v>
      </c>
      <c r="M162" s="21">
        <f ca="1">IFERROR(__xludf.DUMMYFUNCTION("""COMPUTED_VALUE"""),60)</f>
        <v>60</v>
      </c>
      <c r="N162" s="21">
        <f ca="1">IFERROR(__xludf.DUMMYFUNCTION("""COMPUTED_VALUE"""),0)</f>
        <v>0</v>
      </c>
      <c r="O162" s="22">
        <f ca="1">IFERROR(__xludf.DUMMYFUNCTION("""COMPUTED_VALUE"""),117)</f>
        <v>117</v>
      </c>
      <c r="P162" s="22">
        <f ca="1">IFERROR(__xludf.DUMMYFUNCTION("""COMPUTED_VALUE"""),0)</f>
        <v>0</v>
      </c>
      <c r="Q162" s="23">
        <f ca="1">IFERROR(__xludf.DUMMYFUNCTION("""COMPUTED_VALUE"""),490)</f>
        <v>490</v>
      </c>
      <c r="R162" s="23">
        <f ca="1">IFERROR(__xludf.DUMMYFUNCTION("""COMPUTED_VALUE"""),10)</f>
        <v>10</v>
      </c>
      <c r="S162" s="24" t="str">
        <f ca="1">IFERROR(__xludf.DUMMYFUNCTION("""COMPUTED_VALUE"""),"Corrosion")</f>
        <v>Corrosion</v>
      </c>
      <c r="T162" s="25"/>
      <c r="U162" s="24" t="str">
        <f ca="1">IFERROR(__xludf.DUMMYFUNCTION("""COMPUTED_VALUE"""),"Oblivious")</f>
        <v>Oblivious</v>
      </c>
      <c r="V162" s="25" t="str">
        <f ca="1">IFERROR(__xludf.DUMMYFUNCTION("""COMPUTED_VALUE"""),"Lv. 33, Female")</f>
        <v>Lv. 33, Female</v>
      </c>
      <c r="W162" s="25"/>
      <c r="X162" s="25" t="str">
        <f ca="1">IFERROR(__xludf.DUMMYFUNCTION("""COMPUTED_VALUE"""),"Smoke Ball")</f>
        <v>Smoke Ball</v>
      </c>
      <c r="Y162" s="25" t="str">
        <f ca="1">IFERROR(__xludf.DUMMYFUNCTION("""COMPUTED_VALUE"""),"Salandit (evolve)")</f>
        <v>Salandit (evolve)</v>
      </c>
    </row>
    <row r="163" spans="1:25" x14ac:dyDescent="0.25">
      <c r="A163" s="15" t="str">
        <f ca="1">IFERROR(__xludf.DUMMYFUNCTION("""COMPUTED_VALUE"""),"Finizen")</f>
        <v>Finizen</v>
      </c>
      <c r="B163" s="16">
        <f ca="1">IFERROR(__xludf.DUMMYFUNCTION("""COMPUTED_VALUE"""),162)</f>
        <v>162</v>
      </c>
      <c r="C163" s="3" t="str">
        <f ca="1">IFERROR(__xludf.DUMMYFUNCTION("""COMPUTED_VALUE"""),"Water")</f>
        <v>Water</v>
      </c>
      <c r="D163" s="3"/>
      <c r="E163" s="17">
        <f ca="1">IFERROR(__xludf.DUMMYFUNCTION("""COMPUTED_VALUE"""),70)</f>
        <v>70</v>
      </c>
      <c r="F163" s="17">
        <f ca="1">IFERROR(__xludf.DUMMYFUNCTION("""COMPUTED_VALUE"""),0)</f>
        <v>0</v>
      </c>
      <c r="G163" s="18">
        <f ca="1">IFERROR(__xludf.DUMMYFUNCTION("""COMPUTED_VALUE"""),65)</f>
        <v>65</v>
      </c>
      <c r="H163" s="18">
        <f ca="1">IFERROR(__xludf.DUMMYFUNCTION("""COMPUTED_VALUE"""),20)</f>
        <v>20</v>
      </c>
      <c r="I163" s="19">
        <f ca="1">IFERROR(__xludf.DUMMYFUNCTION("""COMPUTED_VALUE"""),40)</f>
        <v>40</v>
      </c>
      <c r="J163" s="19">
        <f ca="1">IFERROR(__xludf.DUMMYFUNCTION("""COMPUTED_VALUE"""),0)</f>
        <v>0</v>
      </c>
      <c r="K163" s="20">
        <f ca="1">IFERROR(__xludf.DUMMYFUNCTION("""COMPUTED_VALUE"""),45)</f>
        <v>45</v>
      </c>
      <c r="L163" s="20">
        <f ca="1">IFERROR(__xludf.DUMMYFUNCTION("""COMPUTED_VALUE"""),0)</f>
        <v>0</v>
      </c>
      <c r="M163" s="21">
        <f ca="1">IFERROR(__xludf.DUMMYFUNCTION("""COMPUTED_VALUE"""),40)</f>
        <v>40</v>
      </c>
      <c r="N163" s="21">
        <f ca="1">IFERROR(__xludf.DUMMYFUNCTION("""COMPUTED_VALUE"""),0)</f>
        <v>0</v>
      </c>
      <c r="O163" s="22">
        <f ca="1">IFERROR(__xludf.DUMMYFUNCTION("""COMPUTED_VALUE"""),75)</f>
        <v>75</v>
      </c>
      <c r="P163" s="22">
        <f ca="1">IFERROR(__xludf.DUMMYFUNCTION("""COMPUTED_VALUE"""),0)</f>
        <v>0</v>
      </c>
      <c r="Q163" s="23">
        <f ca="1">IFERROR(__xludf.DUMMYFUNCTION("""COMPUTED_VALUE"""),335)</f>
        <v>335</v>
      </c>
      <c r="R163" s="23">
        <f ca="1">IFERROR(__xludf.DUMMYFUNCTION("""COMPUTED_VALUE"""),20)</f>
        <v>20</v>
      </c>
      <c r="S163" s="24" t="str">
        <f ca="1">IFERROR(__xludf.DUMMYFUNCTION("""COMPUTED_VALUE"""),"Water Veil")</f>
        <v>Water Veil</v>
      </c>
      <c r="T163" s="25"/>
      <c r="U163" s="24" t="str">
        <f ca="1">IFERROR(__xludf.DUMMYFUNCTION("""COMPUTED_VALUE"""),"Water Veil")</f>
        <v>Water Veil</v>
      </c>
      <c r="V163" s="25"/>
      <c r="W163" s="25"/>
      <c r="X163" s="25"/>
      <c r="Y163" s="25" t="str">
        <f ca="1">IFERROR(__xludf.DUMMYFUNCTION("""COMPUTED_VALUE"""),"Pythios Town (surf) Pythios Town (GR)(fish) Marmaro Island, Myrrini Island")</f>
        <v>Pythios Town (surf) Pythios Town (GR)(fish) Marmaro Island, Myrrini Island</v>
      </c>
    </row>
    <row r="164" spans="1:25" x14ac:dyDescent="0.25">
      <c r="A164" s="15" t="str">
        <f ca="1">IFERROR(__xludf.DUMMYFUNCTION("""COMPUTED_VALUE"""),"Palafin")</f>
        <v>Palafin</v>
      </c>
      <c r="B164" s="16">
        <f ca="1">IFERROR(__xludf.DUMMYFUNCTION("""COMPUTED_VALUE"""),163)</f>
        <v>163</v>
      </c>
      <c r="C164" s="3" t="str">
        <f ca="1">IFERROR(__xludf.DUMMYFUNCTION("""COMPUTED_VALUE"""),"Water")</f>
        <v>Water</v>
      </c>
      <c r="D164" s="3"/>
      <c r="E164" s="17">
        <f ca="1">IFERROR(__xludf.DUMMYFUNCTION("""COMPUTED_VALUE"""),100)</f>
        <v>100</v>
      </c>
      <c r="F164" s="17">
        <f ca="1">IFERROR(__xludf.DUMMYFUNCTION("""COMPUTED_VALUE"""),0)</f>
        <v>0</v>
      </c>
      <c r="G164" s="18">
        <f ca="1">IFERROR(__xludf.DUMMYFUNCTION("""COMPUTED_VALUE"""),80)</f>
        <v>80</v>
      </c>
      <c r="H164" s="18">
        <f ca="1">IFERROR(__xludf.DUMMYFUNCTION("""COMPUTED_VALUE"""),10)</f>
        <v>10</v>
      </c>
      <c r="I164" s="19">
        <f ca="1">IFERROR(__xludf.DUMMYFUNCTION("""COMPUTED_VALUE"""),72)</f>
        <v>72</v>
      </c>
      <c r="J164" s="19">
        <f ca="1">IFERROR(__xludf.DUMMYFUNCTION("""COMPUTED_VALUE"""),0)</f>
        <v>0</v>
      </c>
      <c r="K164" s="20">
        <f ca="1">IFERROR(__xludf.DUMMYFUNCTION("""COMPUTED_VALUE"""),53)</f>
        <v>53</v>
      </c>
      <c r="L164" s="20">
        <f ca="1">IFERROR(__xludf.DUMMYFUNCTION("""COMPUTED_VALUE"""),0)</f>
        <v>0</v>
      </c>
      <c r="M164" s="21">
        <f ca="1">IFERROR(__xludf.DUMMYFUNCTION("""COMPUTED_VALUE"""),62)</f>
        <v>62</v>
      </c>
      <c r="N164" s="21">
        <f ca="1">IFERROR(__xludf.DUMMYFUNCTION("""COMPUTED_VALUE"""),0)</f>
        <v>0</v>
      </c>
      <c r="O164" s="22">
        <f ca="1">IFERROR(__xludf.DUMMYFUNCTION("""COMPUTED_VALUE"""),100)</f>
        <v>100</v>
      </c>
      <c r="P164" s="22">
        <f ca="1">IFERROR(__xludf.DUMMYFUNCTION("""COMPUTED_VALUE"""),0)</f>
        <v>0</v>
      </c>
      <c r="Q164" s="23">
        <f ca="1">IFERROR(__xludf.DUMMYFUNCTION("""COMPUTED_VALUE"""),467)</f>
        <v>467</v>
      </c>
      <c r="R164" s="23">
        <f ca="1">IFERROR(__xludf.DUMMYFUNCTION("""COMPUTED_VALUE"""),10)</f>
        <v>10</v>
      </c>
      <c r="S164" s="24" t="str">
        <f ca="1">IFERROR(__xludf.DUMMYFUNCTION("""COMPUTED_VALUE"""),"Zero to Hero")</f>
        <v>Zero to Hero</v>
      </c>
      <c r="T164" s="25"/>
      <c r="U164" s="24" t="str">
        <f ca="1">IFERROR(__xludf.DUMMYFUNCTION("""COMPUTED_VALUE"""),"Iron Fist")</f>
        <v>Iron Fist</v>
      </c>
      <c r="V164" s="25" t="str">
        <f ca="1">IFERROR(__xludf.DUMMYFUNCTION("""COMPUTED_VALUE"""),"Lv. 38")</f>
        <v>Lv. 38</v>
      </c>
      <c r="W164" s="25"/>
      <c r="X164" s="25"/>
      <c r="Y164" s="25" t="str">
        <f ca="1">IFERROR(__xludf.DUMMYFUNCTION("""COMPUTED_VALUE"""),"Finizen (evolve)")</f>
        <v>Finizen (evolve)</v>
      </c>
    </row>
    <row r="165" spans="1:25" x14ac:dyDescent="0.25">
      <c r="A165" s="15" t="str">
        <f ca="1">IFERROR(__xludf.DUMMYFUNCTION("""COMPUTED_VALUE"""),"Togepi")</f>
        <v>Togepi</v>
      </c>
      <c r="B165" s="16">
        <f ca="1">IFERROR(__xludf.DUMMYFUNCTION("""COMPUTED_VALUE"""),164)</f>
        <v>164</v>
      </c>
      <c r="C165" s="3" t="str">
        <f ca="1">IFERROR(__xludf.DUMMYFUNCTION("""COMPUTED_VALUE"""),"Fairy")</f>
        <v>Fairy</v>
      </c>
      <c r="D165" s="3"/>
      <c r="E165" s="17">
        <f ca="1">IFERROR(__xludf.DUMMYFUNCTION("""COMPUTED_VALUE"""),35)</f>
        <v>35</v>
      </c>
      <c r="F165" s="17">
        <f ca="1">IFERROR(__xludf.DUMMYFUNCTION("""COMPUTED_VALUE"""),0)</f>
        <v>0</v>
      </c>
      <c r="G165" s="18">
        <f ca="1">IFERROR(__xludf.DUMMYFUNCTION("""COMPUTED_VALUE"""),20)</f>
        <v>20</v>
      </c>
      <c r="H165" s="18">
        <f ca="1">IFERROR(__xludf.DUMMYFUNCTION("""COMPUTED_VALUE"""),0)</f>
        <v>0</v>
      </c>
      <c r="I165" s="19">
        <f ca="1">IFERROR(__xludf.DUMMYFUNCTION("""COMPUTED_VALUE"""),65)</f>
        <v>65</v>
      </c>
      <c r="J165" s="19">
        <f ca="1">IFERROR(__xludf.DUMMYFUNCTION("""COMPUTED_VALUE"""),0)</f>
        <v>0</v>
      </c>
      <c r="K165" s="20">
        <f ca="1">IFERROR(__xludf.DUMMYFUNCTION("""COMPUTED_VALUE"""),40)</f>
        <v>40</v>
      </c>
      <c r="L165" s="20">
        <f ca="1">IFERROR(__xludf.DUMMYFUNCTION("""COMPUTED_VALUE"""),0)</f>
        <v>0</v>
      </c>
      <c r="M165" s="21">
        <f ca="1">IFERROR(__xludf.DUMMYFUNCTION("""COMPUTED_VALUE"""),65)</f>
        <v>65</v>
      </c>
      <c r="N165" s="21">
        <f ca="1">IFERROR(__xludf.DUMMYFUNCTION("""COMPUTED_VALUE"""),0)</f>
        <v>0</v>
      </c>
      <c r="O165" s="22">
        <f ca="1">IFERROR(__xludf.DUMMYFUNCTION("""COMPUTED_VALUE"""),20)</f>
        <v>20</v>
      </c>
      <c r="P165" s="22">
        <f ca="1">IFERROR(__xludf.DUMMYFUNCTION("""COMPUTED_VALUE"""),0)</f>
        <v>0</v>
      </c>
      <c r="Q165" s="23">
        <f ca="1">IFERROR(__xludf.DUMMYFUNCTION("""COMPUTED_VALUE"""),245)</f>
        <v>245</v>
      </c>
      <c r="R165" s="23">
        <f ca="1">IFERROR(__xludf.DUMMYFUNCTION("""COMPUTED_VALUE"""),0)</f>
        <v>0</v>
      </c>
      <c r="S165" s="24" t="str">
        <f ca="1">IFERROR(__xludf.DUMMYFUNCTION("""COMPUTED_VALUE"""),"Serene Grace")</f>
        <v>Serene Grace</v>
      </c>
      <c r="T165" s="25"/>
      <c r="U165" s="24" t="str">
        <f ca="1">IFERROR(__xludf.DUMMYFUNCTION("""COMPUTED_VALUE"""),"Super Luck")</f>
        <v>Super Luck</v>
      </c>
      <c r="V165" s="25"/>
      <c r="W165" s="25"/>
      <c r="X165" s="25"/>
      <c r="Y165" s="25" t="str">
        <f ca="1">IFERROR(__xludf.DUMMYFUNCTION("""COMPUTED_VALUE"""),"Erinys Path W, Erinys Path E, Sea of Asteri (wild)")</f>
        <v>Erinys Path W, Erinys Path E, Sea of Asteri (wild)</v>
      </c>
    </row>
    <row r="166" spans="1:25" x14ac:dyDescent="0.25">
      <c r="A166" s="15" t="str">
        <f ca="1">IFERROR(__xludf.DUMMYFUNCTION("""COMPUTED_VALUE"""),"Togetic")</f>
        <v>Togetic</v>
      </c>
      <c r="B166" s="16">
        <f ca="1">IFERROR(__xludf.DUMMYFUNCTION("""COMPUTED_VALUE"""),165)</f>
        <v>165</v>
      </c>
      <c r="C166" s="3" t="str">
        <f ca="1">IFERROR(__xludf.DUMMYFUNCTION("""COMPUTED_VALUE"""),"Fairy")</f>
        <v>Fairy</v>
      </c>
      <c r="D166" s="3" t="str">
        <f ca="1">IFERROR(__xludf.DUMMYFUNCTION("""COMPUTED_VALUE"""),"Flying")</f>
        <v>Flying</v>
      </c>
      <c r="E166" s="17">
        <f ca="1">IFERROR(__xludf.DUMMYFUNCTION("""COMPUTED_VALUE"""),65)</f>
        <v>65</v>
      </c>
      <c r="F166" s="17">
        <f ca="1">IFERROR(__xludf.DUMMYFUNCTION("""COMPUTED_VALUE"""),10)</f>
        <v>10</v>
      </c>
      <c r="G166" s="18">
        <f ca="1">IFERROR(__xludf.DUMMYFUNCTION("""COMPUTED_VALUE"""),40)</f>
        <v>40</v>
      </c>
      <c r="H166" s="18">
        <f ca="1">IFERROR(__xludf.DUMMYFUNCTION("""COMPUTED_VALUE"""),0)</f>
        <v>0</v>
      </c>
      <c r="I166" s="19">
        <f ca="1">IFERROR(__xludf.DUMMYFUNCTION("""COMPUTED_VALUE"""),85)</f>
        <v>85</v>
      </c>
      <c r="J166" s="19">
        <f ca="1">IFERROR(__xludf.DUMMYFUNCTION("""COMPUTED_VALUE"""),0)</f>
        <v>0</v>
      </c>
      <c r="K166" s="20">
        <f ca="1">IFERROR(__xludf.DUMMYFUNCTION("""COMPUTED_VALUE"""),80)</f>
        <v>80</v>
      </c>
      <c r="L166" s="20">
        <f ca="1">IFERROR(__xludf.DUMMYFUNCTION("""COMPUTED_VALUE"""),0)</f>
        <v>0</v>
      </c>
      <c r="M166" s="21">
        <f ca="1">IFERROR(__xludf.DUMMYFUNCTION("""COMPUTED_VALUE"""),105)</f>
        <v>105</v>
      </c>
      <c r="N166" s="21">
        <f ca="1">IFERROR(__xludf.DUMMYFUNCTION("""COMPUTED_VALUE"""),0)</f>
        <v>0</v>
      </c>
      <c r="O166" s="22">
        <f ca="1">IFERROR(__xludf.DUMMYFUNCTION("""COMPUTED_VALUE"""),40)</f>
        <v>40</v>
      </c>
      <c r="P166" s="22">
        <f ca="1">IFERROR(__xludf.DUMMYFUNCTION("""COMPUTED_VALUE"""),0)</f>
        <v>0</v>
      </c>
      <c r="Q166" s="23">
        <f ca="1">IFERROR(__xludf.DUMMYFUNCTION("""COMPUTED_VALUE"""),415)</f>
        <v>415</v>
      </c>
      <c r="R166" s="23">
        <f ca="1">IFERROR(__xludf.DUMMYFUNCTION("""COMPUTED_VALUE"""),10)</f>
        <v>10</v>
      </c>
      <c r="S166" s="24" t="str">
        <f ca="1">IFERROR(__xludf.DUMMYFUNCTION("""COMPUTED_VALUE"""),"Serene Grace")</f>
        <v>Serene Grace</v>
      </c>
      <c r="T166" s="25"/>
      <c r="U166" s="24" t="str">
        <f ca="1">IFERROR(__xludf.DUMMYFUNCTION("""COMPUTED_VALUE"""),"Super Luck")</f>
        <v>Super Luck</v>
      </c>
      <c r="V166" s="25" t="str">
        <f ca="1">IFERROR(__xludf.DUMMYFUNCTION("""COMPUTED_VALUE"""),"Lv. 20")</f>
        <v>Lv. 20</v>
      </c>
      <c r="W166" s="25"/>
      <c r="X166" s="25"/>
      <c r="Y166" s="25" t="str">
        <f ca="1">IFERROR(__xludf.DUMMYFUNCTION("""COMPUTED_VALUE"""),"Port Pello (wild)")</f>
        <v>Port Pello (wild)</v>
      </c>
    </row>
    <row r="167" spans="1:25" x14ac:dyDescent="0.25">
      <c r="A167" s="15" t="str">
        <f ca="1">IFERROR(__xludf.DUMMYFUNCTION("""COMPUTED_VALUE"""),"Togekiss")</f>
        <v>Togekiss</v>
      </c>
      <c r="B167" s="16">
        <f ca="1">IFERROR(__xludf.DUMMYFUNCTION("""COMPUTED_VALUE"""),166)</f>
        <v>166</v>
      </c>
      <c r="C167" s="3" t="str">
        <f ca="1">IFERROR(__xludf.DUMMYFUNCTION("""COMPUTED_VALUE"""),"Fairy")</f>
        <v>Fairy</v>
      </c>
      <c r="D167" s="3" t="str">
        <f ca="1">IFERROR(__xludf.DUMMYFUNCTION("""COMPUTED_VALUE"""),"Flying")</f>
        <v>Flying</v>
      </c>
      <c r="E167" s="17">
        <f ca="1">IFERROR(__xludf.DUMMYFUNCTION("""COMPUTED_VALUE"""),95)</f>
        <v>95</v>
      </c>
      <c r="F167" s="17">
        <f ca="1">IFERROR(__xludf.DUMMYFUNCTION("""COMPUTED_VALUE"""),10)</f>
        <v>10</v>
      </c>
      <c r="G167" s="18">
        <f ca="1">IFERROR(__xludf.DUMMYFUNCTION("""COMPUTED_VALUE"""),50)</f>
        <v>50</v>
      </c>
      <c r="H167" s="18">
        <f ca="1">IFERROR(__xludf.DUMMYFUNCTION("""COMPUTED_VALUE"""),0)</f>
        <v>0</v>
      </c>
      <c r="I167" s="19">
        <f ca="1">IFERROR(__xludf.DUMMYFUNCTION("""COMPUTED_VALUE"""),95)</f>
        <v>95</v>
      </c>
      <c r="J167" s="19">
        <f ca="1">IFERROR(__xludf.DUMMYFUNCTION("""COMPUTED_VALUE"""),0)</f>
        <v>0</v>
      </c>
      <c r="K167" s="20">
        <f ca="1">IFERROR(__xludf.DUMMYFUNCTION("""COMPUTED_VALUE"""),120)</f>
        <v>120</v>
      </c>
      <c r="L167" s="20">
        <f ca="1">IFERROR(__xludf.DUMMYFUNCTION("""COMPUTED_VALUE"""),0)</f>
        <v>0</v>
      </c>
      <c r="M167" s="21">
        <f ca="1">IFERROR(__xludf.DUMMYFUNCTION("""COMPUTED_VALUE"""),115)</f>
        <v>115</v>
      </c>
      <c r="N167" s="21">
        <f ca="1">IFERROR(__xludf.DUMMYFUNCTION("""COMPUTED_VALUE"""),0)</f>
        <v>0</v>
      </c>
      <c r="O167" s="22">
        <f ca="1">IFERROR(__xludf.DUMMYFUNCTION("""COMPUTED_VALUE"""),80)</f>
        <v>80</v>
      </c>
      <c r="P167" s="22">
        <f ca="1">IFERROR(__xludf.DUMMYFUNCTION("""COMPUTED_VALUE"""),0)</f>
        <v>0</v>
      </c>
      <c r="Q167" s="23">
        <f ca="1">IFERROR(__xludf.DUMMYFUNCTION("""COMPUTED_VALUE"""),555)</f>
        <v>555</v>
      </c>
      <c r="R167" s="23">
        <f ca="1">IFERROR(__xludf.DUMMYFUNCTION("""COMPUTED_VALUE"""),10)</f>
        <v>10</v>
      </c>
      <c r="S167" s="24" t="str">
        <f ca="1">IFERROR(__xludf.DUMMYFUNCTION("""COMPUTED_VALUE"""),"Serene Grace")</f>
        <v>Serene Grace</v>
      </c>
      <c r="T167" s="25"/>
      <c r="U167" s="24" t="str">
        <f ca="1">IFERROR(__xludf.DUMMYFUNCTION("""COMPUTED_VALUE"""),"Super Luck")</f>
        <v>Super Luck</v>
      </c>
      <c r="V167" s="25" t="str">
        <f ca="1">IFERROR(__xludf.DUMMYFUNCTION("""COMPUTED_VALUE"""),"Shiny Stone")</f>
        <v>Shiny Stone</v>
      </c>
      <c r="W167" s="25"/>
      <c r="X167" s="25"/>
      <c r="Y167" s="25" t="str">
        <f ca="1">IFERROR(__xludf.DUMMYFUNCTION("""COMPUTED_VALUE"""),"Togetic (evolve)")</f>
        <v>Togetic (evolve)</v>
      </c>
    </row>
    <row r="168" spans="1:25" x14ac:dyDescent="0.25">
      <c r="A168" s="15" t="str">
        <f ca="1">IFERROR(__xludf.DUMMYFUNCTION("""COMPUTED_VALUE"""),"Cherubi")</f>
        <v>Cherubi</v>
      </c>
      <c r="B168" s="16">
        <f ca="1">IFERROR(__xludf.DUMMYFUNCTION("""COMPUTED_VALUE"""),167)</f>
        <v>167</v>
      </c>
      <c r="C168" s="3" t="str">
        <f ca="1">IFERROR(__xludf.DUMMYFUNCTION("""COMPUTED_VALUE"""),"Grass")</f>
        <v>Grass</v>
      </c>
      <c r="D168" s="3"/>
      <c r="E168" s="17">
        <f ca="1">IFERROR(__xludf.DUMMYFUNCTION("""COMPUTED_VALUE"""),45)</f>
        <v>45</v>
      </c>
      <c r="F168" s="17">
        <f ca="1">IFERROR(__xludf.DUMMYFUNCTION("""COMPUTED_VALUE"""),0)</f>
        <v>0</v>
      </c>
      <c r="G168" s="18">
        <f ca="1">IFERROR(__xludf.DUMMYFUNCTION("""COMPUTED_VALUE"""),35)</f>
        <v>35</v>
      </c>
      <c r="H168" s="18">
        <f ca="1">IFERROR(__xludf.DUMMYFUNCTION("""COMPUTED_VALUE"""),0)</f>
        <v>0</v>
      </c>
      <c r="I168" s="19">
        <f ca="1">IFERROR(__xludf.DUMMYFUNCTION("""COMPUTED_VALUE"""),45)</f>
        <v>45</v>
      </c>
      <c r="J168" s="19">
        <f ca="1">IFERROR(__xludf.DUMMYFUNCTION("""COMPUTED_VALUE"""),0)</f>
        <v>0</v>
      </c>
      <c r="K168" s="20">
        <f ca="1">IFERROR(__xludf.DUMMYFUNCTION("""COMPUTED_VALUE"""),62)</f>
        <v>62</v>
      </c>
      <c r="L168" s="20">
        <f ca="1">IFERROR(__xludf.DUMMYFUNCTION("""COMPUTED_VALUE"""),0)</f>
        <v>0</v>
      </c>
      <c r="M168" s="21">
        <f ca="1">IFERROR(__xludf.DUMMYFUNCTION("""COMPUTED_VALUE"""),53)</f>
        <v>53</v>
      </c>
      <c r="N168" s="21">
        <f ca="1">IFERROR(__xludf.DUMMYFUNCTION("""COMPUTED_VALUE"""),0)</f>
        <v>0</v>
      </c>
      <c r="O168" s="22">
        <f ca="1">IFERROR(__xludf.DUMMYFUNCTION("""COMPUTED_VALUE"""),35)</f>
        <v>35</v>
      </c>
      <c r="P168" s="22">
        <f ca="1">IFERROR(__xludf.DUMMYFUNCTION("""COMPUTED_VALUE"""),0)</f>
        <v>0</v>
      </c>
      <c r="Q168" s="23">
        <f ca="1">IFERROR(__xludf.DUMMYFUNCTION("""COMPUTED_VALUE"""),275)</f>
        <v>275</v>
      </c>
      <c r="R168" s="23">
        <f ca="1">IFERROR(__xludf.DUMMYFUNCTION("""COMPUTED_VALUE"""),0)</f>
        <v>0</v>
      </c>
      <c r="S168" s="24" t="str">
        <f ca="1">IFERROR(__xludf.DUMMYFUNCTION("""COMPUTED_VALUE"""),"Chlorophyll")</f>
        <v>Chlorophyll</v>
      </c>
      <c r="T168" s="25"/>
      <c r="U168" s="25"/>
      <c r="V168" s="25"/>
      <c r="W168" s="25"/>
      <c r="X168" s="25" t="str">
        <f ca="1">IFERROR(__xludf.DUMMYFUNCTION("""COMPUTED_VALUE"""),"Miracle Seed")</f>
        <v>Miracle Seed</v>
      </c>
      <c r="Y168" s="25" t="str">
        <f ca="1">IFERROR(__xludf.DUMMYFUNCTION("""COMPUTED_VALUE"""),"Erinys Path E, Myrrini Island (wild)")</f>
        <v>Erinys Path E, Myrrini Island (wild)</v>
      </c>
    </row>
    <row r="169" spans="1:25" x14ac:dyDescent="0.25">
      <c r="A169" s="15" t="str">
        <f ca="1">IFERROR(__xludf.DUMMYFUNCTION("""COMPUTED_VALUE"""),"Cherrim")</f>
        <v>Cherrim</v>
      </c>
      <c r="B169" s="16">
        <f ca="1">IFERROR(__xludf.DUMMYFUNCTION("""COMPUTED_VALUE"""),168)</f>
        <v>168</v>
      </c>
      <c r="C169" s="3" t="str">
        <f ca="1">IFERROR(__xludf.DUMMYFUNCTION("""COMPUTED_VALUE"""),"Grass")</f>
        <v>Grass</v>
      </c>
      <c r="D169" s="3" t="str">
        <f ca="1">IFERROR(__xludf.DUMMYFUNCTION("""COMPUTED_VALUE"""),"Fire")</f>
        <v>Fire</v>
      </c>
      <c r="E169" s="17">
        <f ca="1">IFERROR(__xludf.DUMMYFUNCTION("""COMPUTED_VALUE"""),70)</f>
        <v>70</v>
      </c>
      <c r="F169" s="17">
        <f ca="1">IFERROR(__xludf.DUMMYFUNCTION("""COMPUTED_VALUE"""),0)</f>
        <v>0</v>
      </c>
      <c r="G169" s="18">
        <f ca="1">IFERROR(__xludf.DUMMYFUNCTION("""COMPUTED_VALUE"""),60)</f>
        <v>60</v>
      </c>
      <c r="H169" s="18">
        <f ca="1">IFERROR(__xludf.DUMMYFUNCTION("""COMPUTED_VALUE"""),0)</f>
        <v>0</v>
      </c>
      <c r="I169" s="19">
        <f ca="1">IFERROR(__xludf.DUMMYFUNCTION("""COMPUTED_VALUE"""),80)</f>
        <v>80</v>
      </c>
      <c r="J169" s="19">
        <f ca="1">IFERROR(__xludf.DUMMYFUNCTION("""COMPUTED_VALUE"""),10)</f>
        <v>10</v>
      </c>
      <c r="K169" s="20">
        <f ca="1">IFERROR(__xludf.DUMMYFUNCTION("""COMPUTED_VALUE"""),97)</f>
        <v>97</v>
      </c>
      <c r="L169" s="20">
        <f ca="1">IFERROR(__xludf.DUMMYFUNCTION("""COMPUTED_VALUE"""),10)</f>
        <v>10</v>
      </c>
      <c r="M169" s="21">
        <f ca="1">IFERROR(__xludf.DUMMYFUNCTION("""COMPUTED_VALUE"""),88)</f>
        <v>88</v>
      </c>
      <c r="N169" s="21">
        <f ca="1">IFERROR(__xludf.DUMMYFUNCTION("""COMPUTED_VALUE"""),10)</f>
        <v>10</v>
      </c>
      <c r="O169" s="22">
        <f ca="1">IFERROR(__xludf.DUMMYFUNCTION("""COMPUTED_VALUE"""),85)</f>
        <v>85</v>
      </c>
      <c r="P169" s="22">
        <f ca="1">IFERROR(__xludf.DUMMYFUNCTION("""COMPUTED_VALUE"""),0)</f>
        <v>0</v>
      </c>
      <c r="Q169" s="23">
        <f ca="1">IFERROR(__xludf.DUMMYFUNCTION("""COMPUTED_VALUE"""),480)</f>
        <v>480</v>
      </c>
      <c r="R169" s="23">
        <f ca="1">IFERROR(__xludf.DUMMYFUNCTION("""COMPUTED_VALUE"""),30)</f>
        <v>30</v>
      </c>
      <c r="S169" s="24" t="str">
        <f ca="1">IFERROR(__xludf.DUMMYFUNCTION("""COMPUTED_VALUE"""),"Flower Gift")</f>
        <v>Flower Gift</v>
      </c>
      <c r="T169" s="25"/>
      <c r="U169" s="24" t="str">
        <f ca="1">IFERROR(__xludf.DUMMYFUNCTION("""COMPUTED_VALUE"""),"Drought")</f>
        <v>Drought</v>
      </c>
      <c r="V169" s="25" t="str">
        <f ca="1">IFERROR(__xludf.DUMMYFUNCTION("""COMPUTED_VALUE"""),"Lv. 25")</f>
        <v>Lv. 25</v>
      </c>
      <c r="W169" s="25"/>
      <c r="X169" s="25" t="str">
        <f ca="1">IFERROR(__xludf.DUMMYFUNCTION("""COMPUTED_VALUE"""),"Miracle Seed")</f>
        <v>Miracle Seed</v>
      </c>
      <c r="Y169" s="25" t="str">
        <f ca="1">IFERROR(__xludf.DUMMYFUNCTION("""COMPUTED_VALUE"""),"Port Pello, Kaptara Island (wild)")</f>
        <v>Port Pello, Kaptara Island (wild)</v>
      </c>
    </row>
    <row r="170" spans="1:25" x14ac:dyDescent="0.25">
      <c r="A170" s="15" t="str">
        <f ca="1">IFERROR(__xludf.DUMMYFUNCTION("""COMPUTED_VALUE"""),"Houndour")</f>
        <v>Houndour</v>
      </c>
      <c r="B170" s="16">
        <f ca="1">IFERROR(__xludf.DUMMYFUNCTION("""COMPUTED_VALUE"""),169)</f>
        <v>169</v>
      </c>
      <c r="C170" s="3" t="str">
        <f ca="1">IFERROR(__xludf.DUMMYFUNCTION("""COMPUTED_VALUE"""),"Dark")</f>
        <v>Dark</v>
      </c>
      <c r="D170" s="3" t="str">
        <f ca="1">IFERROR(__xludf.DUMMYFUNCTION("""COMPUTED_VALUE"""),"Fire")</f>
        <v>Fire</v>
      </c>
      <c r="E170" s="17">
        <f ca="1">IFERROR(__xludf.DUMMYFUNCTION("""COMPUTED_VALUE"""),45)</f>
        <v>45</v>
      </c>
      <c r="F170" s="17">
        <f ca="1">IFERROR(__xludf.DUMMYFUNCTION("""COMPUTED_VALUE"""),0)</f>
        <v>0</v>
      </c>
      <c r="G170" s="18">
        <f ca="1">IFERROR(__xludf.DUMMYFUNCTION("""COMPUTED_VALUE"""),60)</f>
        <v>60</v>
      </c>
      <c r="H170" s="18">
        <f ca="1">IFERROR(__xludf.DUMMYFUNCTION("""COMPUTED_VALUE"""),0)</f>
        <v>0</v>
      </c>
      <c r="I170" s="19">
        <f ca="1">IFERROR(__xludf.DUMMYFUNCTION("""COMPUTED_VALUE"""),30)</f>
        <v>30</v>
      </c>
      <c r="J170" s="19">
        <f ca="1">IFERROR(__xludf.DUMMYFUNCTION("""COMPUTED_VALUE"""),0)</f>
        <v>0</v>
      </c>
      <c r="K170" s="20">
        <f ca="1">IFERROR(__xludf.DUMMYFUNCTION("""COMPUTED_VALUE"""),80)</f>
        <v>80</v>
      </c>
      <c r="L170" s="20">
        <f ca="1">IFERROR(__xludf.DUMMYFUNCTION("""COMPUTED_VALUE"""),0)</f>
        <v>0</v>
      </c>
      <c r="M170" s="21">
        <f ca="1">IFERROR(__xludf.DUMMYFUNCTION("""COMPUTED_VALUE"""),50)</f>
        <v>50</v>
      </c>
      <c r="N170" s="21">
        <f ca="1">IFERROR(__xludf.DUMMYFUNCTION("""COMPUTED_VALUE"""),0)</f>
        <v>0</v>
      </c>
      <c r="O170" s="22">
        <f ca="1">IFERROR(__xludf.DUMMYFUNCTION("""COMPUTED_VALUE"""),70)</f>
        <v>70</v>
      </c>
      <c r="P170" s="22">
        <f ca="1">IFERROR(__xludf.DUMMYFUNCTION("""COMPUTED_VALUE"""),5)</f>
        <v>5</v>
      </c>
      <c r="Q170" s="23">
        <f ca="1">IFERROR(__xludf.DUMMYFUNCTION("""COMPUTED_VALUE"""),335)</f>
        <v>335</v>
      </c>
      <c r="R170" s="23">
        <f ca="1">IFERROR(__xludf.DUMMYFUNCTION("""COMPUTED_VALUE"""),5)</f>
        <v>5</v>
      </c>
      <c r="S170" s="24" t="str">
        <f ca="1">IFERROR(__xludf.DUMMYFUNCTION("""COMPUTED_VALUE"""),"Unnerve")</f>
        <v>Unnerve</v>
      </c>
      <c r="T170" s="24" t="str">
        <f ca="1">IFERROR(__xludf.DUMMYFUNCTION("""COMPUTED_VALUE"""),"Flash Fire")</f>
        <v>Flash Fire</v>
      </c>
      <c r="U170" s="24" t="str">
        <f ca="1">IFERROR(__xludf.DUMMYFUNCTION("""COMPUTED_VALUE"""),"Dark Aura")</f>
        <v>Dark Aura</v>
      </c>
      <c r="V170" s="25"/>
      <c r="W170" s="25"/>
      <c r="X170" s="25"/>
      <c r="Y170" s="25" t="str">
        <f ca="1">IFERROR(__xludf.DUMMYFUNCTION("""COMPUTED_VALUE"""),"Erinys Path E (wild)")</f>
        <v>Erinys Path E (wild)</v>
      </c>
    </row>
    <row r="171" spans="1:25" x14ac:dyDescent="0.25">
      <c r="A171" s="15" t="str">
        <f ca="1">IFERROR(__xludf.DUMMYFUNCTION("""COMPUTED_VALUE"""),"Houndoom")</f>
        <v>Houndoom</v>
      </c>
      <c r="B171" s="16">
        <f ca="1">IFERROR(__xludf.DUMMYFUNCTION("""COMPUTED_VALUE"""),170)</f>
        <v>170</v>
      </c>
      <c r="C171" s="3" t="str">
        <f ca="1">IFERROR(__xludf.DUMMYFUNCTION("""COMPUTED_VALUE"""),"Dark")</f>
        <v>Dark</v>
      </c>
      <c r="D171" s="3" t="str">
        <f ca="1">IFERROR(__xludf.DUMMYFUNCTION("""COMPUTED_VALUE"""),"Fire")</f>
        <v>Fire</v>
      </c>
      <c r="E171" s="17">
        <f ca="1">IFERROR(__xludf.DUMMYFUNCTION("""COMPUTED_VALUE"""),75)</f>
        <v>75</v>
      </c>
      <c r="F171" s="17">
        <f ca="1">IFERROR(__xludf.DUMMYFUNCTION("""COMPUTED_VALUE"""),0)</f>
        <v>0</v>
      </c>
      <c r="G171" s="18">
        <f ca="1">IFERROR(__xludf.DUMMYFUNCTION("""COMPUTED_VALUE"""),90)</f>
        <v>90</v>
      </c>
      <c r="H171" s="18">
        <f ca="1">IFERROR(__xludf.DUMMYFUNCTION("""COMPUTED_VALUE"""),0)</f>
        <v>0</v>
      </c>
      <c r="I171" s="19">
        <f ca="1">IFERROR(__xludf.DUMMYFUNCTION("""COMPUTED_VALUE"""),50)</f>
        <v>50</v>
      </c>
      <c r="J171" s="19">
        <f ca="1">IFERROR(__xludf.DUMMYFUNCTION("""COMPUTED_VALUE"""),0)</f>
        <v>0</v>
      </c>
      <c r="K171" s="20">
        <f ca="1">IFERROR(__xludf.DUMMYFUNCTION("""COMPUTED_VALUE"""),110)</f>
        <v>110</v>
      </c>
      <c r="L171" s="20">
        <f ca="1">IFERROR(__xludf.DUMMYFUNCTION("""COMPUTED_VALUE"""),0)</f>
        <v>0</v>
      </c>
      <c r="M171" s="21">
        <f ca="1">IFERROR(__xludf.DUMMYFUNCTION("""COMPUTED_VALUE"""),80)</f>
        <v>80</v>
      </c>
      <c r="N171" s="21">
        <f ca="1">IFERROR(__xludf.DUMMYFUNCTION("""COMPUTED_VALUE"""),0)</f>
        <v>0</v>
      </c>
      <c r="O171" s="22">
        <f ca="1">IFERROR(__xludf.DUMMYFUNCTION("""COMPUTED_VALUE"""),100)</f>
        <v>100</v>
      </c>
      <c r="P171" s="22">
        <f ca="1">IFERROR(__xludf.DUMMYFUNCTION("""COMPUTED_VALUE"""),5)</f>
        <v>5</v>
      </c>
      <c r="Q171" s="23">
        <f ca="1">IFERROR(__xludf.DUMMYFUNCTION("""COMPUTED_VALUE"""),505)</f>
        <v>505</v>
      </c>
      <c r="R171" s="23">
        <f ca="1">IFERROR(__xludf.DUMMYFUNCTION("""COMPUTED_VALUE"""),5)</f>
        <v>5</v>
      </c>
      <c r="S171" s="24" t="str">
        <f ca="1">IFERROR(__xludf.DUMMYFUNCTION("""COMPUTED_VALUE"""),"Unnerve")</f>
        <v>Unnerve</v>
      </c>
      <c r="T171" s="24" t="str">
        <f ca="1">IFERROR(__xludf.DUMMYFUNCTION("""COMPUTED_VALUE"""),"Flash Fire")</f>
        <v>Flash Fire</v>
      </c>
      <c r="U171" s="24" t="str">
        <f ca="1">IFERROR(__xludf.DUMMYFUNCTION("""COMPUTED_VALUE"""),"Dark Aura")</f>
        <v>Dark Aura</v>
      </c>
      <c r="V171" s="25" t="str">
        <f ca="1">IFERROR(__xludf.DUMMYFUNCTION("""COMPUTED_VALUE"""),"Lv. 24")</f>
        <v>Lv. 24</v>
      </c>
      <c r="W171" s="25"/>
      <c r="X171" s="25"/>
      <c r="Y171" s="25" t="str">
        <f ca="1">IFERROR(__xludf.DUMMYFUNCTION("""COMPUTED_VALUE"""),"Areios Hideout (wild)")</f>
        <v>Areios Hideout (wild)</v>
      </c>
    </row>
    <row r="172" spans="1:25" x14ac:dyDescent="0.25">
      <c r="A172" s="15" t="str">
        <f ca="1">IFERROR(__xludf.DUMMYFUNCTION("""COMPUTED_VALUE"""),"Omanyte")</f>
        <v>Omanyte</v>
      </c>
      <c r="B172" s="16">
        <f ca="1">IFERROR(__xludf.DUMMYFUNCTION("""COMPUTED_VALUE"""),171)</f>
        <v>171</v>
      </c>
      <c r="C172" s="3" t="str">
        <f ca="1">IFERROR(__xludf.DUMMYFUNCTION("""COMPUTED_VALUE"""),"Rock")</f>
        <v>Rock</v>
      </c>
      <c r="D172" s="3" t="str">
        <f ca="1">IFERROR(__xludf.DUMMYFUNCTION("""COMPUTED_VALUE"""),"Water")</f>
        <v>Water</v>
      </c>
      <c r="E172" s="17">
        <f ca="1">IFERROR(__xludf.DUMMYFUNCTION("""COMPUTED_VALUE"""),35)</f>
        <v>35</v>
      </c>
      <c r="F172" s="17">
        <f ca="1">IFERROR(__xludf.DUMMYFUNCTION("""COMPUTED_VALUE"""),0)</f>
        <v>0</v>
      </c>
      <c r="G172" s="18">
        <f ca="1">IFERROR(__xludf.DUMMYFUNCTION("""COMPUTED_VALUE"""),50)</f>
        <v>50</v>
      </c>
      <c r="H172" s="18">
        <f ca="1">IFERROR(__xludf.DUMMYFUNCTION("""COMPUTED_VALUE"""),10)</f>
        <v>10</v>
      </c>
      <c r="I172" s="19">
        <f ca="1">IFERROR(__xludf.DUMMYFUNCTION("""COMPUTED_VALUE"""),100)</f>
        <v>100</v>
      </c>
      <c r="J172" s="19">
        <f ca="1">IFERROR(__xludf.DUMMYFUNCTION("""COMPUTED_VALUE"""),0)</f>
        <v>0</v>
      </c>
      <c r="K172" s="20">
        <f ca="1">IFERROR(__xludf.DUMMYFUNCTION("""COMPUTED_VALUE"""),80)</f>
        <v>80</v>
      </c>
      <c r="L172" s="20">
        <f ca="1">IFERROR(__xludf.DUMMYFUNCTION("""COMPUTED_VALUE"""),-10)</f>
        <v>-10</v>
      </c>
      <c r="M172" s="21">
        <f ca="1">IFERROR(__xludf.DUMMYFUNCTION("""COMPUTED_VALUE"""),55)</f>
        <v>55</v>
      </c>
      <c r="N172" s="21">
        <f ca="1">IFERROR(__xludf.DUMMYFUNCTION("""COMPUTED_VALUE"""),0)</f>
        <v>0</v>
      </c>
      <c r="O172" s="22">
        <f ca="1">IFERROR(__xludf.DUMMYFUNCTION("""COMPUTED_VALUE"""),35)</f>
        <v>35</v>
      </c>
      <c r="P172" s="22">
        <f ca="1">IFERROR(__xludf.DUMMYFUNCTION("""COMPUTED_VALUE"""),0)</f>
        <v>0</v>
      </c>
      <c r="Q172" s="23">
        <f ca="1">IFERROR(__xludf.DUMMYFUNCTION("""COMPUTED_VALUE"""),355)</f>
        <v>355</v>
      </c>
      <c r="R172" s="23">
        <f ca="1">IFERROR(__xludf.DUMMYFUNCTION("""COMPUTED_VALUE"""),0)</f>
        <v>0</v>
      </c>
      <c r="S172" s="24" t="str">
        <f ca="1">IFERROR(__xludf.DUMMYFUNCTION("""COMPUTED_VALUE"""),"Skill Link")</f>
        <v>Skill Link</v>
      </c>
      <c r="T172" s="24" t="str">
        <f ca="1">IFERROR(__xludf.DUMMYFUNCTION("""COMPUTED_VALUE"""),"Shell Armor")</f>
        <v>Shell Armor</v>
      </c>
      <c r="U172" s="24" t="str">
        <f ca="1">IFERROR(__xludf.DUMMYFUNCTION("""COMPUTED_VALUE"""),"Weak Armor")</f>
        <v>Weak Armor</v>
      </c>
      <c r="V172" s="25"/>
      <c r="W172" s="25"/>
      <c r="X172" s="25"/>
      <c r="Y172" s="25" t="str">
        <f ca="1">IFERROR(__xludf.DUMMYFUNCTION("""COMPUTED_VALUE"""),"Erinys Path W (wild)")</f>
        <v>Erinys Path W (wild)</v>
      </c>
    </row>
    <row r="173" spans="1:25" x14ac:dyDescent="0.25">
      <c r="A173" s="15" t="str">
        <f ca="1">IFERROR(__xludf.DUMMYFUNCTION("""COMPUTED_VALUE"""),"Omastar")</f>
        <v>Omastar</v>
      </c>
      <c r="B173" s="16">
        <f ca="1">IFERROR(__xludf.DUMMYFUNCTION("""COMPUTED_VALUE"""),172)</f>
        <v>172</v>
      </c>
      <c r="C173" s="3" t="str">
        <f ca="1">IFERROR(__xludf.DUMMYFUNCTION("""COMPUTED_VALUE"""),"Rock")</f>
        <v>Rock</v>
      </c>
      <c r="D173" s="3" t="str">
        <f ca="1">IFERROR(__xludf.DUMMYFUNCTION("""COMPUTED_VALUE"""),"Water")</f>
        <v>Water</v>
      </c>
      <c r="E173" s="17">
        <f ca="1">IFERROR(__xludf.DUMMYFUNCTION("""COMPUTED_VALUE"""),70)</f>
        <v>70</v>
      </c>
      <c r="F173" s="17">
        <f ca="1">IFERROR(__xludf.DUMMYFUNCTION("""COMPUTED_VALUE"""),0)</f>
        <v>0</v>
      </c>
      <c r="G173" s="18">
        <f ca="1">IFERROR(__xludf.DUMMYFUNCTION("""COMPUTED_VALUE"""),80)</f>
        <v>80</v>
      </c>
      <c r="H173" s="18">
        <f ca="1">IFERROR(__xludf.DUMMYFUNCTION("""COMPUTED_VALUE"""),20)</f>
        <v>20</v>
      </c>
      <c r="I173" s="19">
        <f ca="1">IFERROR(__xludf.DUMMYFUNCTION("""COMPUTED_VALUE"""),125)</f>
        <v>125</v>
      </c>
      <c r="J173" s="19">
        <f ca="1">IFERROR(__xludf.DUMMYFUNCTION("""COMPUTED_VALUE"""),0)</f>
        <v>0</v>
      </c>
      <c r="K173" s="20">
        <f ca="1">IFERROR(__xludf.DUMMYFUNCTION("""COMPUTED_VALUE"""),95)</f>
        <v>95</v>
      </c>
      <c r="L173" s="20">
        <f ca="1">IFERROR(__xludf.DUMMYFUNCTION("""COMPUTED_VALUE"""),-20)</f>
        <v>-20</v>
      </c>
      <c r="M173" s="21">
        <f ca="1">IFERROR(__xludf.DUMMYFUNCTION("""COMPUTED_VALUE"""),70)</f>
        <v>70</v>
      </c>
      <c r="N173" s="21">
        <f ca="1">IFERROR(__xludf.DUMMYFUNCTION("""COMPUTED_VALUE"""),0)</f>
        <v>0</v>
      </c>
      <c r="O173" s="22">
        <f ca="1">IFERROR(__xludf.DUMMYFUNCTION("""COMPUTED_VALUE"""),55)</f>
        <v>55</v>
      </c>
      <c r="P173" s="22">
        <f ca="1">IFERROR(__xludf.DUMMYFUNCTION("""COMPUTED_VALUE"""),0)</f>
        <v>0</v>
      </c>
      <c r="Q173" s="23">
        <f ca="1">IFERROR(__xludf.DUMMYFUNCTION("""COMPUTED_VALUE"""),495)</f>
        <v>495</v>
      </c>
      <c r="R173" s="23">
        <f ca="1">IFERROR(__xludf.DUMMYFUNCTION("""COMPUTED_VALUE"""),0)</f>
        <v>0</v>
      </c>
      <c r="S173" s="24" t="str">
        <f ca="1">IFERROR(__xludf.DUMMYFUNCTION("""COMPUTED_VALUE"""),"Skill Link")</f>
        <v>Skill Link</v>
      </c>
      <c r="T173" s="24" t="str">
        <f ca="1">IFERROR(__xludf.DUMMYFUNCTION("""COMPUTED_VALUE"""),"Shell Armor")</f>
        <v>Shell Armor</v>
      </c>
      <c r="U173" s="24" t="str">
        <f ca="1">IFERROR(__xludf.DUMMYFUNCTION("""COMPUTED_VALUE"""),"Weak Armor")</f>
        <v>Weak Armor</v>
      </c>
      <c r="V173" s="25" t="str">
        <f ca="1">IFERROR(__xludf.DUMMYFUNCTION("""COMPUTED_VALUE"""),"Lv. 40")</f>
        <v>Lv. 40</v>
      </c>
      <c r="W173" s="25"/>
      <c r="X173" s="25"/>
      <c r="Y173" s="25" t="str">
        <f ca="1">IFERROR(__xludf.DUMMYFUNCTION("""COMPUTED_VALUE"""),"Omanyte (evolve)")</f>
        <v>Omanyte (evolve)</v>
      </c>
    </row>
    <row r="174" spans="1:25" x14ac:dyDescent="0.25">
      <c r="A174" s="15" t="str">
        <f ca="1">IFERROR(__xludf.DUMMYFUNCTION("""COMPUTED_VALUE"""),"Kabuto")</f>
        <v>Kabuto</v>
      </c>
      <c r="B174" s="16">
        <f ca="1">IFERROR(__xludf.DUMMYFUNCTION("""COMPUTED_VALUE"""),173)</f>
        <v>173</v>
      </c>
      <c r="C174" s="3" t="str">
        <f ca="1">IFERROR(__xludf.DUMMYFUNCTION("""COMPUTED_VALUE"""),"Rock")</f>
        <v>Rock</v>
      </c>
      <c r="D174" s="3" t="str">
        <f ca="1">IFERROR(__xludf.DUMMYFUNCTION("""COMPUTED_VALUE"""),"Water")</f>
        <v>Water</v>
      </c>
      <c r="E174" s="17">
        <f ca="1">IFERROR(__xludf.DUMMYFUNCTION("""COMPUTED_VALUE"""),30)</f>
        <v>30</v>
      </c>
      <c r="F174" s="17">
        <f ca="1">IFERROR(__xludf.DUMMYFUNCTION("""COMPUTED_VALUE"""),0)</f>
        <v>0</v>
      </c>
      <c r="G174" s="18">
        <f ca="1">IFERROR(__xludf.DUMMYFUNCTION("""COMPUTED_VALUE"""),80)</f>
        <v>80</v>
      </c>
      <c r="H174" s="18">
        <f ca="1">IFERROR(__xludf.DUMMYFUNCTION("""COMPUTED_VALUE"""),0)</f>
        <v>0</v>
      </c>
      <c r="I174" s="19">
        <f ca="1">IFERROR(__xludf.DUMMYFUNCTION("""COMPUTED_VALUE"""),90)</f>
        <v>90</v>
      </c>
      <c r="J174" s="19">
        <f ca="1">IFERROR(__xludf.DUMMYFUNCTION("""COMPUTED_VALUE"""),0)</f>
        <v>0</v>
      </c>
      <c r="K174" s="20">
        <f ca="1">IFERROR(__xludf.DUMMYFUNCTION("""COMPUTED_VALUE"""),55)</f>
        <v>55</v>
      </c>
      <c r="L174" s="20">
        <f ca="1">IFERROR(__xludf.DUMMYFUNCTION("""COMPUTED_VALUE"""),0)</f>
        <v>0</v>
      </c>
      <c r="M174" s="21">
        <f ca="1">IFERROR(__xludf.DUMMYFUNCTION("""COMPUTED_VALUE"""),45)</f>
        <v>45</v>
      </c>
      <c r="N174" s="21">
        <f ca="1">IFERROR(__xludf.DUMMYFUNCTION("""COMPUTED_VALUE"""),0)</f>
        <v>0</v>
      </c>
      <c r="O174" s="22">
        <f ca="1">IFERROR(__xludf.DUMMYFUNCTION("""COMPUTED_VALUE"""),55)</f>
        <v>55</v>
      </c>
      <c r="P174" s="22">
        <f ca="1">IFERROR(__xludf.DUMMYFUNCTION("""COMPUTED_VALUE"""),0)</f>
        <v>0</v>
      </c>
      <c r="Q174" s="23">
        <f ca="1">IFERROR(__xludf.DUMMYFUNCTION("""COMPUTED_VALUE"""),355)</f>
        <v>355</v>
      </c>
      <c r="R174" s="23">
        <f ca="1">IFERROR(__xludf.DUMMYFUNCTION("""COMPUTED_VALUE"""),0)</f>
        <v>0</v>
      </c>
      <c r="S174" s="24" t="str">
        <f ca="1">IFERROR(__xludf.DUMMYFUNCTION("""COMPUTED_VALUE"""),"Sharpness")</f>
        <v>Sharpness</v>
      </c>
      <c r="T174" s="24" t="str">
        <f ca="1">IFERROR(__xludf.DUMMYFUNCTION("""COMPUTED_VALUE"""),"Battle Armor")</f>
        <v>Battle Armor</v>
      </c>
      <c r="U174" s="24" t="str">
        <f ca="1">IFERROR(__xludf.DUMMYFUNCTION("""COMPUTED_VALUE"""),"Weak Armor")</f>
        <v>Weak Armor</v>
      </c>
      <c r="V174" s="25"/>
      <c r="W174" s="25"/>
      <c r="X174" s="25"/>
      <c r="Y174" s="25" t="str">
        <f ca="1">IFERROR(__xludf.DUMMYFUNCTION("""COMPUTED_VALUE"""),"Erinys Path E (wild)")</f>
        <v>Erinys Path E (wild)</v>
      </c>
    </row>
    <row r="175" spans="1:25" x14ac:dyDescent="0.25">
      <c r="A175" s="15" t="str">
        <f ca="1">IFERROR(__xludf.DUMMYFUNCTION("""COMPUTED_VALUE"""),"Kabutops")</f>
        <v>Kabutops</v>
      </c>
      <c r="B175" s="16">
        <f ca="1">IFERROR(__xludf.DUMMYFUNCTION("""COMPUTED_VALUE"""),174)</f>
        <v>174</v>
      </c>
      <c r="C175" s="3" t="str">
        <f ca="1">IFERROR(__xludf.DUMMYFUNCTION("""COMPUTED_VALUE"""),"Rock")</f>
        <v>Rock</v>
      </c>
      <c r="D175" s="3" t="str">
        <f ca="1">IFERROR(__xludf.DUMMYFUNCTION("""COMPUTED_VALUE"""),"Water")</f>
        <v>Water</v>
      </c>
      <c r="E175" s="17">
        <f ca="1">IFERROR(__xludf.DUMMYFUNCTION("""COMPUTED_VALUE"""),60)</f>
        <v>60</v>
      </c>
      <c r="F175" s="17">
        <f ca="1">IFERROR(__xludf.DUMMYFUNCTION("""COMPUTED_VALUE"""),0)</f>
        <v>0</v>
      </c>
      <c r="G175" s="18">
        <f ca="1">IFERROR(__xludf.DUMMYFUNCTION("""COMPUTED_VALUE"""),120)</f>
        <v>120</v>
      </c>
      <c r="H175" s="18">
        <f ca="1">IFERROR(__xludf.DUMMYFUNCTION("""COMPUTED_VALUE"""),5)</f>
        <v>5</v>
      </c>
      <c r="I175" s="19">
        <f ca="1">IFERROR(__xludf.DUMMYFUNCTION("""COMPUTED_VALUE"""),105)</f>
        <v>105</v>
      </c>
      <c r="J175" s="19">
        <f ca="1">IFERROR(__xludf.DUMMYFUNCTION("""COMPUTED_VALUE"""),0)</f>
        <v>0</v>
      </c>
      <c r="K175" s="20">
        <f ca="1">IFERROR(__xludf.DUMMYFUNCTION("""COMPUTED_VALUE"""),60)</f>
        <v>60</v>
      </c>
      <c r="L175" s="20">
        <f ca="1">IFERROR(__xludf.DUMMYFUNCTION("""COMPUTED_VALUE"""),-5)</f>
        <v>-5</v>
      </c>
      <c r="M175" s="21">
        <f ca="1">IFERROR(__xludf.DUMMYFUNCTION("""COMPUTED_VALUE"""),70)</f>
        <v>70</v>
      </c>
      <c r="N175" s="21">
        <f ca="1">IFERROR(__xludf.DUMMYFUNCTION("""COMPUTED_VALUE"""),0)</f>
        <v>0</v>
      </c>
      <c r="O175" s="22">
        <f ca="1">IFERROR(__xludf.DUMMYFUNCTION("""COMPUTED_VALUE"""),80)</f>
        <v>80</v>
      </c>
      <c r="P175" s="22">
        <f ca="1">IFERROR(__xludf.DUMMYFUNCTION("""COMPUTED_VALUE"""),0)</f>
        <v>0</v>
      </c>
      <c r="Q175" s="23">
        <f ca="1">IFERROR(__xludf.DUMMYFUNCTION("""COMPUTED_VALUE"""),495)</f>
        <v>495</v>
      </c>
      <c r="R175" s="23">
        <f ca="1">IFERROR(__xludf.DUMMYFUNCTION("""COMPUTED_VALUE"""),0)</f>
        <v>0</v>
      </c>
      <c r="S175" s="24" t="str">
        <f ca="1">IFERROR(__xludf.DUMMYFUNCTION("""COMPUTED_VALUE"""),"Sharpness")</f>
        <v>Sharpness</v>
      </c>
      <c r="T175" s="24" t="str">
        <f ca="1">IFERROR(__xludf.DUMMYFUNCTION("""COMPUTED_VALUE"""),"Battle Armor")</f>
        <v>Battle Armor</v>
      </c>
      <c r="U175" s="24" t="str">
        <f ca="1">IFERROR(__xludf.DUMMYFUNCTION("""COMPUTED_VALUE"""),"Weak Armor")</f>
        <v>Weak Armor</v>
      </c>
      <c r="V175" s="25" t="str">
        <f ca="1">IFERROR(__xludf.DUMMYFUNCTION("""COMPUTED_VALUE"""),"Lv. 40")</f>
        <v>Lv. 40</v>
      </c>
      <c r="W175" s="25"/>
      <c r="X175" s="25"/>
      <c r="Y175" s="25" t="str">
        <f ca="1">IFERROR(__xludf.DUMMYFUNCTION("""COMPUTED_VALUE"""),"Kabuto (evolve)")</f>
        <v>Kabuto (evolve)</v>
      </c>
    </row>
    <row r="176" spans="1:25" x14ac:dyDescent="0.25">
      <c r="A176" s="15" t="str">
        <f ca="1">IFERROR(__xludf.DUMMYFUNCTION("""COMPUTED_VALUE"""),"Skorupi")</f>
        <v>Skorupi</v>
      </c>
      <c r="B176" s="16">
        <f ca="1">IFERROR(__xludf.DUMMYFUNCTION("""COMPUTED_VALUE"""),175)</f>
        <v>175</v>
      </c>
      <c r="C176" s="3" t="str">
        <f ca="1">IFERROR(__xludf.DUMMYFUNCTION("""COMPUTED_VALUE"""),"Poison")</f>
        <v>Poison</v>
      </c>
      <c r="D176" s="3" t="str">
        <f ca="1">IFERROR(__xludf.DUMMYFUNCTION("""COMPUTED_VALUE"""),"Bug")</f>
        <v>Bug</v>
      </c>
      <c r="E176" s="17">
        <f ca="1">IFERROR(__xludf.DUMMYFUNCTION("""COMPUTED_VALUE"""),40)</f>
        <v>40</v>
      </c>
      <c r="F176" s="17">
        <f ca="1">IFERROR(__xludf.DUMMYFUNCTION("""COMPUTED_VALUE"""),0)</f>
        <v>0</v>
      </c>
      <c r="G176" s="18">
        <f ca="1">IFERROR(__xludf.DUMMYFUNCTION("""COMPUTED_VALUE"""),80)</f>
        <v>80</v>
      </c>
      <c r="H176" s="18">
        <f ca="1">IFERROR(__xludf.DUMMYFUNCTION("""COMPUTED_VALUE"""),30)</f>
        <v>30</v>
      </c>
      <c r="I176" s="19">
        <f ca="1">IFERROR(__xludf.DUMMYFUNCTION("""COMPUTED_VALUE"""),90)</f>
        <v>90</v>
      </c>
      <c r="J176" s="19">
        <f ca="1">IFERROR(__xludf.DUMMYFUNCTION("""COMPUTED_VALUE"""),0)</f>
        <v>0</v>
      </c>
      <c r="K176" s="20">
        <f ca="1">IFERROR(__xludf.DUMMYFUNCTION("""COMPUTED_VALUE"""),30)</f>
        <v>30</v>
      </c>
      <c r="L176" s="20">
        <f ca="1">IFERROR(__xludf.DUMMYFUNCTION("""COMPUTED_VALUE"""),0)</f>
        <v>0</v>
      </c>
      <c r="M176" s="21">
        <f ca="1">IFERROR(__xludf.DUMMYFUNCTION("""COMPUTED_VALUE"""),65)</f>
        <v>65</v>
      </c>
      <c r="N176" s="21">
        <f ca="1">IFERROR(__xludf.DUMMYFUNCTION("""COMPUTED_VALUE"""),10)</f>
        <v>10</v>
      </c>
      <c r="O176" s="22">
        <f ca="1">IFERROR(__xludf.DUMMYFUNCTION("""COMPUTED_VALUE"""),55)</f>
        <v>55</v>
      </c>
      <c r="P176" s="22">
        <f ca="1">IFERROR(__xludf.DUMMYFUNCTION("""COMPUTED_VALUE"""),-10)</f>
        <v>-10</v>
      </c>
      <c r="Q176" s="23">
        <f ca="1">IFERROR(__xludf.DUMMYFUNCTION("""COMPUTED_VALUE"""),360)</f>
        <v>360</v>
      </c>
      <c r="R176" s="23">
        <f ca="1">IFERROR(__xludf.DUMMYFUNCTION("""COMPUTED_VALUE"""),30)</f>
        <v>30</v>
      </c>
      <c r="S176" s="24" t="str">
        <f ca="1">IFERROR(__xludf.DUMMYFUNCTION("""COMPUTED_VALUE"""),"Battle Armor")</f>
        <v>Battle Armor</v>
      </c>
      <c r="T176" s="24" t="str">
        <f ca="1">IFERROR(__xludf.DUMMYFUNCTION("""COMPUTED_VALUE"""),"Sniper")</f>
        <v>Sniper</v>
      </c>
      <c r="U176" s="24" t="str">
        <f ca="1">IFERROR(__xludf.DUMMYFUNCTION("""COMPUTED_VALUE"""),"Anger Shell")</f>
        <v>Anger Shell</v>
      </c>
      <c r="V176" s="25"/>
      <c r="W176" s="25"/>
      <c r="X176" s="25" t="str">
        <f ca="1">IFERROR(__xludf.DUMMYFUNCTION("""COMPUTED_VALUE"""),"Poison Barb")</f>
        <v>Poison Barb</v>
      </c>
      <c r="Y176" s="25" t="str">
        <f ca="1">IFERROR(__xludf.DUMMYFUNCTION("""COMPUTED_VALUE"""),"Erinys Path E, Fresco Isles (wild)")</f>
        <v>Erinys Path E, Fresco Isles (wild)</v>
      </c>
    </row>
    <row r="177" spans="1:25" x14ac:dyDescent="0.25">
      <c r="A177" s="15" t="str">
        <f ca="1">IFERROR(__xludf.DUMMYFUNCTION("""COMPUTED_VALUE"""),"Drapion")</f>
        <v>Drapion</v>
      </c>
      <c r="B177" s="16">
        <f ca="1">IFERROR(__xludf.DUMMYFUNCTION("""COMPUTED_VALUE"""),176)</f>
        <v>176</v>
      </c>
      <c r="C177" s="3" t="str">
        <f ca="1">IFERROR(__xludf.DUMMYFUNCTION("""COMPUTED_VALUE"""),"Poison")</f>
        <v>Poison</v>
      </c>
      <c r="D177" s="3" t="str">
        <f ca="1">IFERROR(__xludf.DUMMYFUNCTION("""COMPUTED_VALUE"""),"Dark")</f>
        <v>Dark</v>
      </c>
      <c r="E177" s="17">
        <f ca="1">IFERROR(__xludf.DUMMYFUNCTION("""COMPUTED_VALUE"""),80)</f>
        <v>80</v>
      </c>
      <c r="F177" s="17">
        <f ca="1">IFERROR(__xludf.DUMMYFUNCTION("""COMPUTED_VALUE"""),10)</f>
        <v>10</v>
      </c>
      <c r="G177" s="18">
        <f ca="1">IFERROR(__xludf.DUMMYFUNCTION("""COMPUTED_VALUE"""),100)</f>
        <v>100</v>
      </c>
      <c r="H177" s="18">
        <f ca="1">IFERROR(__xludf.DUMMYFUNCTION("""COMPUTED_VALUE"""),10)</f>
        <v>10</v>
      </c>
      <c r="I177" s="19">
        <f ca="1">IFERROR(__xludf.DUMMYFUNCTION("""COMPUTED_VALUE"""),110)</f>
        <v>110</v>
      </c>
      <c r="J177" s="19">
        <f ca="1">IFERROR(__xludf.DUMMYFUNCTION("""COMPUTED_VALUE"""),0)</f>
        <v>0</v>
      </c>
      <c r="K177" s="20">
        <f ca="1">IFERROR(__xludf.DUMMYFUNCTION("""COMPUTED_VALUE"""),60)</f>
        <v>60</v>
      </c>
      <c r="L177" s="20">
        <f ca="1">IFERROR(__xludf.DUMMYFUNCTION("""COMPUTED_VALUE"""),0)</f>
        <v>0</v>
      </c>
      <c r="M177" s="21">
        <f ca="1">IFERROR(__xludf.DUMMYFUNCTION("""COMPUTED_VALUE"""),75)</f>
        <v>75</v>
      </c>
      <c r="N177" s="21">
        <f ca="1">IFERROR(__xludf.DUMMYFUNCTION("""COMPUTED_VALUE"""),0)</f>
        <v>0</v>
      </c>
      <c r="O177" s="22">
        <f ca="1">IFERROR(__xludf.DUMMYFUNCTION("""COMPUTED_VALUE"""),95)</f>
        <v>95</v>
      </c>
      <c r="P177" s="22">
        <f ca="1">IFERROR(__xludf.DUMMYFUNCTION("""COMPUTED_VALUE"""),0)</f>
        <v>0</v>
      </c>
      <c r="Q177" s="23">
        <f ca="1">IFERROR(__xludf.DUMMYFUNCTION("""COMPUTED_VALUE"""),520)</f>
        <v>520</v>
      </c>
      <c r="R177" s="23">
        <f ca="1">IFERROR(__xludf.DUMMYFUNCTION("""COMPUTED_VALUE"""),20)</f>
        <v>20</v>
      </c>
      <c r="S177" s="24" t="str">
        <f ca="1">IFERROR(__xludf.DUMMYFUNCTION("""COMPUTED_VALUE"""),"Battle Armor")</f>
        <v>Battle Armor</v>
      </c>
      <c r="T177" s="24" t="str">
        <f ca="1">IFERROR(__xludf.DUMMYFUNCTION("""COMPUTED_VALUE"""),"Sniper")</f>
        <v>Sniper</v>
      </c>
      <c r="U177" s="24" t="str">
        <f ca="1">IFERROR(__xludf.DUMMYFUNCTION("""COMPUTED_VALUE"""),"Anger Shell")</f>
        <v>Anger Shell</v>
      </c>
      <c r="V177" s="25" t="str">
        <f ca="1">IFERROR(__xludf.DUMMYFUNCTION("""COMPUTED_VALUE"""),"Lv. 40")</f>
        <v>Lv. 40</v>
      </c>
      <c r="W177" s="25"/>
      <c r="X177" s="25" t="str">
        <f ca="1">IFERROR(__xludf.DUMMYFUNCTION("""COMPUTED_VALUE"""),"Poison Barb")</f>
        <v>Poison Barb</v>
      </c>
      <c r="Y177" s="25" t="str">
        <f ca="1">IFERROR(__xludf.DUMMYFUNCTION("""COMPUTED_VALUE"""),"Areios Hideout (wild)")</f>
        <v>Areios Hideout (wild)</v>
      </c>
    </row>
    <row r="178" spans="1:25" x14ac:dyDescent="0.25">
      <c r="A178" s="15" t="str">
        <f ca="1">IFERROR(__xludf.DUMMYFUNCTION("""COMPUTED_VALUE"""),"Spinarak")</f>
        <v>Spinarak</v>
      </c>
      <c r="B178" s="16">
        <f ca="1">IFERROR(__xludf.DUMMYFUNCTION("""COMPUTED_VALUE"""),177)</f>
        <v>177</v>
      </c>
      <c r="C178" s="3" t="str">
        <f ca="1">IFERROR(__xludf.DUMMYFUNCTION("""COMPUTED_VALUE"""),"Bug")</f>
        <v>Bug</v>
      </c>
      <c r="D178" s="3" t="str">
        <f ca="1">IFERROR(__xludf.DUMMYFUNCTION("""COMPUTED_VALUE"""),"Poison")</f>
        <v>Poison</v>
      </c>
      <c r="E178" s="17">
        <f ca="1">IFERROR(__xludf.DUMMYFUNCTION("""COMPUTED_VALUE"""),40)</f>
        <v>40</v>
      </c>
      <c r="F178" s="17">
        <f ca="1">IFERROR(__xludf.DUMMYFUNCTION("""COMPUTED_VALUE"""),0)</f>
        <v>0</v>
      </c>
      <c r="G178" s="18">
        <f ca="1">IFERROR(__xludf.DUMMYFUNCTION("""COMPUTED_VALUE"""),60)</f>
        <v>60</v>
      </c>
      <c r="H178" s="18">
        <f ca="1">IFERROR(__xludf.DUMMYFUNCTION("""COMPUTED_VALUE"""),0)</f>
        <v>0</v>
      </c>
      <c r="I178" s="19">
        <f ca="1">IFERROR(__xludf.DUMMYFUNCTION("""COMPUTED_VALUE"""),40)</f>
        <v>40</v>
      </c>
      <c r="J178" s="19">
        <f ca="1">IFERROR(__xludf.DUMMYFUNCTION("""COMPUTED_VALUE"""),0)</f>
        <v>0</v>
      </c>
      <c r="K178" s="20">
        <f ca="1">IFERROR(__xludf.DUMMYFUNCTION("""COMPUTED_VALUE"""),40)</f>
        <v>40</v>
      </c>
      <c r="L178" s="20">
        <f ca="1">IFERROR(__xludf.DUMMYFUNCTION("""COMPUTED_VALUE"""),0)</f>
        <v>0</v>
      </c>
      <c r="M178" s="21">
        <f ca="1">IFERROR(__xludf.DUMMYFUNCTION("""COMPUTED_VALUE"""),40)</f>
        <v>40</v>
      </c>
      <c r="N178" s="21">
        <f ca="1">IFERROR(__xludf.DUMMYFUNCTION("""COMPUTED_VALUE"""),0)</f>
        <v>0</v>
      </c>
      <c r="O178" s="22">
        <f ca="1">IFERROR(__xludf.DUMMYFUNCTION("""COMPUTED_VALUE"""),30)</f>
        <v>30</v>
      </c>
      <c r="P178" s="22">
        <f ca="1">IFERROR(__xludf.DUMMYFUNCTION("""COMPUTED_VALUE"""),0)</f>
        <v>0</v>
      </c>
      <c r="Q178" s="23">
        <f ca="1">IFERROR(__xludf.DUMMYFUNCTION("""COMPUTED_VALUE"""),250)</f>
        <v>250</v>
      </c>
      <c r="R178" s="23">
        <f ca="1">IFERROR(__xludf.DUMMYFUNCTION("""COMPUTED_VALUE"""),0)</f>
        <v>0</v>
      </c>
      <c r="S178" s="24" t="str">
        <f ca="1">IFERROR(__xludf.DUMMYFUNCTION("""COMPUTED_VALUE"""),"Swarm")</f>
        <v>Swarm</v>
      </c>
      <c r="T178" s="24" t="str">
        <f ca="1">IFERROR(__xludf.DUMMYFUNCTION("""COMPUTED_VALUE"""),"Insomnia")</f>
        <v>Insomnia</v>
      </c>
      <c r="U178" s="24" t="str">
        <f ca="1">IFERROR(__xludf.DUMMYFUNCTION("""COMPUTED_VALUE"""),"Sniper")</f>
        <v>Sniper</v>
      </c>
      <c r="V178" s="25"/>
      <c r="W178" s="25"/>
      <c r="X178" s="25"/>
      <c r="Y178" s="25" t="str">
        <f ca="1">IFERROR(__xludf.DUMMYFUNCTION("""COMPUTED_VALUE"""),"Acrisia Mountains Peak, Erinys Path E (wild)")</f>
        <v>Acrisia Mountains Peak, Erinys Path E (wild)</v>
      </c>
    </row>
    <row r="179" spans="1:25" x14ac:dyDescent="0.25">
      <c r="A179" s="15" t="str">
        <f ca="1">IFERROR(__xludf.DUMMYFUNCTION("""COMPUTED_VALUE"""),"Ariados")</f>
        <v>Ariados</v>
      </c>
      <c r="B179" s="16">
        <f ca="1">IFERROR(__xludf.DUMMYFUNCTION("""COMPUTED_VALUE"""),178)</f>
        <v>178</v>
      </c>
      <c r="C179" s="3" t="str">
        <f ca="1">IFERROR(__xludf.DUMMYFUNCTION("""COMPUTED_VALUE"""),"Bug")</f>
        <v>Bug</v>
      </c>
      <c r="D179" s="3" t="str">
        <f ca="1">IFERROR(__xludf.DUMMYFUNCTION("""COMPUTED_VALUE"""),"Poison")</f>
        <v>Poison</v>
      </c>
      <c r="E179" s="17">
        <f ca="1">IFERROR(__xludf.DUMMYFUNCTION("""COMPUTED_VALUE"""),90)</f>
        <v>90</v>
      </c>
      <c r="F179" s="17">
        <f ca="1">IFERROR(__xludf.DUMMYFUNCTION("""COMPUTED_VALUE"""),20)</f>
        <v>20</v>
      </c>
      <c r="G179" s="18">
        <f ca="1">IFERROR(__xludf.DUMMYFUNCTION("""COMPUTED_VALUE"""),100)</f>
        <v>100</v>
      </c>
      <c r="H179" s="18">
        <f ca="1">IFERROR(__xludf.DUMMYFUNCTION("""COMPUTED_VALUE"""),10)</f>
        <v>10</v>
      </c>
      <c r="I179" s="19">
        <f ca="1">IFERROR(__xludf.DUMMYFUNCTION("""COMPUTED_VALUE"""),70)</f>
        <v>70</v>
      </c>
      <c r="J179" s="19">
        <f ca="1">IFERROR(__xludf.DUMMYFUNCTION("""COMPUTED_VALUE"""),0)</f>
        <v>0</v>
      </c>
      <c r="K179" s="20">
        <f ca="1">IFERROR(__xludf.DUMMYFUNCTION("""COMPUTED_VALUE"""),60)</f>
        <v>60</v>
      </c>
      <c r="L179" s="20">
        <f ca="1">IFERROR(__xludf.DUMMYFUNCTION("""COMPUTED_VALUE"""),0)</f>
        <v>0</v>
      </c>
      <c r="M179" s="21">
        <f ca="1">IFERROR(__xludf.DUMMYFUNCTION("""COMPUTED_VALUE"""),70)</f>
        <v>70</v>
      </c>
      <c r="N179" s="21">
        <f ca="1">IFERROR(__xludf.DUMMYFUNCTION("""COMPUTED_VALUE"""),0)</f>
        <v>0</v>
      </c>
      <c r="O179" s="22">
        <f ca="1">IFERROR(__xludf.DUMMYFUNCTION("""COMPUTED_VALUE"""),40)</f>
        <v>40</v>
      </c>
      <c r="P179" s="22">
        <f ca="1">IFERROR(__xludf.DUMMYFUNCTION("""COMPUTED_VALUE"""),0)</f>
        <v>0</v>
      </c>
      <c r="Q179" s="23">
        <f ca="1">IFERROR(__xludf.DUMMYFUNCTION("""COMPUTED_VALUE"""),430)</f>
        <v>430</v>
      </c>
      <c r="R179" s="23">
        <f ca="1">IFERROR(__xludf.DUMMYFUNCTION("""COMPUTED_VALUE"""),30)</f>
        <v>30</v>
      </c>
      <c r="S179" s="24" t="str">
        <f ca="1">IFERROR(__xludf.DUMMYFUNCTION("""COMPUTED_VALUE"""),"Swarm")</f>
        <v>Swarm</v>
      </c>
      <c r="T179" s="24" t="str">
        <f ca="1">IFERROR(__xludf.DUMMYFUNCTION("""COMPUTED_VALUE"""),"Insomnia")</f>
        <v>Insomnia</v>
      </c>
      <c r="U179" s="24" t="str">
        <f ca="1">IFERROR(__xludf.DUMMYFUNCTION("""COMPUTED_VALUE"""),"Sniper")</f>
        <v>Sniper</v>
      </c>
      <c r="V179" s="25" t="str">
        <f ca="1">IFERROR(__xludf.DUMMYFUNCTION("""COMPUTED_VALUE"""),"Lv. 22")</f>
        <v>Lv. 22</v>
      </c>
      <c r="W179" s="25"/>
      <c r="X179" s="25"/>
      <c r="Y179" s="25" t="str">
        <f ca="1">IFERROR(__xludf.DUMMYFUNCTION("""COMPUTED_VALUE"""),"Areios Hideout (wild)")</f>
        <v>Areios Hideout (wild)</v>
      </c>
    </row>
    <row r="180" spans="1:25" x14ac:dyDescent="0.25">
      <c r="A180" s="15" t="str">
        <f ca="1">IFERROR(__xludf.DUMMYFUNCTION("""COMPUTED_VALUE"""),"Onix")</f>
        <v>Onix</v>
      </c>
      <c r="B180" s="16">
        <f ca="1">IFERROR(__xludf.DUMMYFUNCTION("""COMPUTED_VALUE"""),179)</f>
        <v>179</v>
      </c>
      <c r="C180" s="3" t="str">
        <f ca="1">IFERROR(__xludf.DUMMYFUNCTION("""COMPUTED_VALUE"""),"Rock")</f>
        <v>Rock</v>
      </c>
      <c r="D180" s="3" t="str">
        <f ca="1">IFERROR(__xludf.DUMMYFUNCTION("""COMPUTED_VALUE"""),"Ground")</f>
        <v>Ground</v>
      </c>
      <c r="E180" s="17">
        <f ca="1">IFERROR(__xludf.DUMMYFUNCTION("""COMPUTED_VALUE"""),35)</f>
        <v>35</v>
      </c>
      <c r="F180" s="17">
        <f ca="1">IFERROR(__xludf.DUMMYFUNCTION("""COMPUTED_VALUE"""),0)</f>
        <v>0</v>
      </c>
      <c r="G180" s="18">
        <f ca="1">IFERROR(__xludf.DUMMYFUNCTION("""COMPUTED_VALUE"""),60)</f>
        <v>60</v>
      </c>
      <c r="H180" s="18">
        <f ca="1">IFERROR(__xludf.DUMMYFUNCTION("""COMPUTED_VALUE"""),15)</f>
        <v>15</v>
      </c>
      <c r="I180" s="19">
        <f ca="1">IFERROR(__xludf.DUMMYFUNCTION("""COMPUTED_VALUE"""),160)</f>
        <v>160</v>
      </c>
      <c r="J180" s="19">
        <f ca="1">IFERROR(__xludf.DUMMYFUNCTION("""COMPUTED_VALUE"""),0)</f>
        <v>0</v>
      </c>
      <c r="K180" s="20">
        <f ca="1">IFERROR(__xludf.DUMMYFUNCTION("""COMPUTED_VALUE"""),30)</f>
        <v>30</v>
      </c>
      <c r="L180" s="20">
        <f ca="1">IFERROR(__xludf.DUMMYFUNCTION("""COMPUTED_VALUE"""),0)</f>
        <v>0</v>
      </c>
      <c r="M180" s="21">
        <f ca="1">IFERROR(__xludf.DUMMYFUNCTION("""COMPUTED_VALUE"""),45)</f>
        <v>45</v>
      </c>
      <c r="N180" s="21">
        <f ca="1">IFERROR(__xludf.DUMMYFUNCTION("""COMPUTED_VALUE"""),0)</f>
        <v>0</v>
      </c>
      <c r="O180" s="22">
        <f ca="1">IFERROR(__xludf.DUMMYFUNCTION("""COMPUTED_VALUE"""),70)</f>
        <v>70</v>
      </c>
      <c r="P180" s="22">
        <f ca="1">IFERROR(__xludf.DUMMYFUNCTION("""COMPUTED_VALUE"""),0)</f>
        <v>0</v>
      </c>
      <c r="Q180" s="23">
        <f ca="1">IFERROR(__xludf.DUMMYFUNCTION("""COMPUTED_VALUE"""),400)</f>
        <v>400</v>
      </c>
      <c r="R180" s="23">
        <f ca="1">IFERROR(__xludf.DUMMYFUNCTION("""COMPUTED_VALUE"""),15)</f>
        <v>15</v>
      </c>
      <c r="S180" s="24" t="str">
        <f ca="1">IFERROR(__xludf.DUMMYFUNCTION("""COMPUTED_VALUE"""),"Rock Head")</f>
        <v>Rock Head</v>
      </c>
      <c r="T180" s="24" t="str">
        <f ca="1">IFERROR(__xludf.DUMMYFUNCTION("""COMPUTED_VALUE"""),"Sturdy")</f>
        <v>Sturdy</v>
      </c>
      <c r="U180" s="24" t="str">
        <f ca="1">IFERROR(__xludf.DUMMYFUNCTION("""COMPUTED_VALUE"""),"Weak Armor")</f>
        <v>Weak Armor</v>
      </c>
      <c r="V180" s="25"/>
      <c r="W180" s="25"/>
      <c r="X180" s="25"/>
      <c r="Y180" s="25" t="str">
        <f ca="1">IFERROR(__xludf.DUMMYFUNCTION("""COMPUTED_VALUE"""),"Erinys Path E, Froslass Cavern (wild)")</f>
        <v>Erinys Path E, Froslass Cavern (wild)</v>
      </c>
    </row>
    <row r="181" spans="1:25" x14ac:dyDescent="0.25">
      <c r="A181" s="15" t="str">
        <f ca="1">IFERROR(__xludf.DUMMYFUNCTION("""COMPUTED_VALUE"""),"Steelix")</f>
        <v>Steelix</v>
      </c>
      <c r="B181" s="16">
        <f ca="1">IFERROR(__xludf.DUMMYFUNCTION("""COMPUTED_VALUE"""),180)</f>
        <v>180</v>
      </c>
      <c r="C181" s="3" t="str">
        <f ca="1">IFERROR(__xludf.DUMMYFUNCTION("""COMPUTED_VALUE"""),"Steel")</f>
        <v>Steel</v>
      </c>
      <c r="D181" s="3" t="str">
        <f ca="1">IFERROR(__xludf.DUMMYFUNCTION("""COMPUTED_VALUE"""),"Ground")</f>
        <v>Ground</v>
      </c>
      <c r="E181" s="17">
        <f ca="1">IFERROR(__xludf.DUMMYFUNCTION("""COMPUTED_VALUE"""),75)</f>
        <v>75</v>
      </c>
      <c r="F181" s="17">
        <f ca="1">IFERROR(__xludf.DUMMYFUNCTION("""COMPUTED_VALUE"""),0)</f>
        <v>0</v>
      </c>
      <c r="G181" s="18">
        <f ca="1">IFERROR(__xludf.DUMMYFUNCTION("""COMPUTED_VALUE"""),85)</f>
        <v>85</v>
      </c>
      <c r="H181" s="18">
        <f ca="1">IFERROR(__xludf.DUMMYFUNCTION("""COMPUTED_VALUE"""),0)</f>
        <v>0</v>
      </c>
      <c r="I181" s="19">
        <f ca="1">IFERROR(__xludf.DUMMYFUNCTION("""COMPUTED_VALUE"""),200)</f>
        <v>200</v>
      </c>
      <c r="J181" s="19">
        <f ca="1">IFERROR(__xludf.DUMMYFUNCTION("""COMPUTED_VALUE"""),0)</f>
        <v>0</v>
      </c>
      <c r="K181" s="20">
        <f ca="1">IFERROR(__xludf.DUMMYFUNCTION("""COMPUTED_VALUE"""),55)</f>
        <v>55</v>
      </c>
      <c r="L181" s="20">
        <f ca="1">IFERROR(__xludf.DUMMYFUNCTION("""COMPUTED_VALUE"""),0)</f>
        <v>0</v>
      </c>
      <c r="M181" s="21">
        <f ca="1">IFERROR(__xludf.DUMMYFUNCTION("""COMPUTED_VALUE"""),65)</f>
        <v>65</v>
      </c>
      <c r="N181" s="21">
        <f ca="1">IFERROR(__xludf.DUMMYFUNCTION("""COMPUTED_VALUE"""),0)</f>
        <v>0</v>
      </c>
      <c r="O181" s="22">
        <f ca="1">IFERROR(__xludf.DUMMYFUNCTION("""COMPUTED_VALUE"""),30)</f>
        <v>30</v>
      </c>
      <c r="P181" s="22">
        <f ca="1">IFERROR(__xludf.DUMMYFUNCTION("""COMPUTED_VALUE"""),0)</f>
        <v>0</v>
      </c>
      <c r="Q181" s="23">
        <f ca="1">IFERROR(__xludf.DUMMYFUNCTION("""COMPUTED_VALUE"""),510)</f>
        <v>510</v>
      </c>
      <c r="R181" s="23">
        <f ca="1">IFERROR(__xludf.DUMMYFUNCTION("""COMPUTED_VALUE"""),0)</f>
        <v>0</v>
      </c>
      <c r="S181" s="24" t="str">
        <f ca="1">IFERROR(__xludf.DUMMYFUNCTION("""COMPUTED_VALUE"""),"Rock Head")</f>
        <v>Rock Head</v>
      </c>
      <c r="T181" s="24" t="str">
        <f ca="1">IFERROR(__xludf.DUMMYFUNCTION("""COMPUTED_VALUE"""),"Strong Jaw")</f>
        <v>Strong Jaw</v>
      </c>
      <c r="U181" s="24" t="str">
        <f ca="1">IFERROR(__xludf.DUMMYFUNCTION("""COMPUTED_VALUE"""),"Sand Stream")</f>
        <v>Sand Stream</v>
      </c>
      <c r="V181" s="25" t="str">
        <f ca="1">IFERROR(__xludf.DUMMYFUNCTION("""COMPUTED_VALUE"""),"Metal Coat")</f>
        <v>Metal Coat</v>
      </c>
      <c r="W181" s="25"/>
      <c r="X181" s="25" t="str">
        <f ca="1">IFERROR(__xludf.DUMMYFUNCTION("""COMPUTED_VALUE"""),"Metal Coat")</f>
        <v>Metal Coat</v>
      </c>
      <c r="Y181" s="25" t="str">
        <f ca="1">IFERROR(__xludf.DUMMYFUNCTION("""COMPUTED_VALUE"""),"Onix (evolve)")</f>
        <v>Onix (evolve)</v>
      </c>
    </row>
    <row r="182" spans="1:25" x14ac:dyDescent="0.25">
      <c r="A182" s="15" t="str">
        <f ca="1">IFERROR(__xludf.DUMMYFUNCTION("""COMPUTED_VALUE"""),"Komala")</f>
        <v>Komala</v>
      </c>
      <c r="B182" s="16">
        <f ca="1">IFERROR(__xludf.DUMMYFUNCTION("""COMPUTED_VALUE"""),181)</f>
        <v>181</v>
      </c>
      <c r="C182" s="3" t="str">
        <f ca="1">IFERROR(__xludf.DUMMYFUNCTION("""COMPUTED_VALUE"""),"Normal")</f>
        <v>Normal</v>
      </c>
      <c r="D182" s="3"/>
      <c r="E182" s="17">
        <f ca="1">IFERROR(__xludf.DUMMYFUNCTION("""COMPUTED_VALUE"""),95)</f>
        <v>95</v>
      </c>
      <c r="F182" s="17">
        <f ca="1">IFERROR(__xludf.DUMMYFUNCTION("""COMPUTED_VALUE"""),30)</f>
        <v>30</v>
      </c>
      <c r="G182" s="18">
        <f ca="1">IFERROR(__xludf.DUMMYFUNCTION("""COMPUTED_VALUE"""),115)</f>
        <v>115</v>
      </c>
      <c r="H182" s="18">
        <f ca="1">IFERROR(__xludf.DUMMYFUNCTION("""COMPUTED_VALUE"""),0)</f>
        <v>0</v>
      </c>
      <c r="I182" s="19">
        <f ca="1">IFERROR(__xludf.DUMMYFUNCTION("""COMPUTED_VALUE"""),85)</f>
        <v>85</v>
      </c>
      <c r="J182" s="19">
        <f ca="1">IFERROR(__xludf.DUMMYFUNCTION("""COMPUTED_VALUE"""),20)</f>
        <v>20</v>
      </c>
      <c r="K182" s="20">
        <f ca="1">IFERROR(__xludf.DUMMYFUNCTION("""COMPUTED_VALUE"""),55)</f>
        <v>55</v>
      </c>
      <c r="L182" s="20">
        <f ca="1">IFERROR(__xludf.DUMMYFUNCTION("""COMPUTED_VALUE"""),-20)</f>
        <v>-20</v>
      </c>
      <c r="M182" s="21">
        <f ca="1">IFERROR(__xludf.DUMMYFUNCTION("""COMPUTED_VALUE"""),95)</f>
        <v>95</v>
      </c>
      <c r="N182" s="21">
        <f ca="1">IFERROR(__xludf.DUMMYFUNCTION("""COMPUTED_VALUE"""),0)</f>
        <v>0</v>
      </c>
      <c r="O182" s="22">
        <f ca="1">IFERROR(__xludf.DUMMYFUNCTION("""COMPUTED_VALUE"""),65)</f>
        <v>65</v>
      </c>
      <c r="P182" s="22">
        <f ca="1">IFERROR(__xludf.DUMMYFUNCTION("""COMPUTED_VALUE"""),0)</f>
        <v>0</v>
      </c>
      <c r="Q182" s="23">
        <f ca="1">IFERROR(__xludf.DUMMYFUNCTION("""COMPUTED_VALUE"""),510)</f>
        <v>510</v>
      </c>
      <c r="R182" s="23">
        <f ca="1">IFERROR(__xludf.DUMMYFUNCTION("""COMPUTED_VALUE"""),30)</f>
        <v>30</v>
      </c>
      <c r="S182" s="24" t="str">
        <f ca="1">IFERROR(__xludf.DUMMYFUNCTION("""COMPUTED_VALUE"""),"Comatose")</f>
        <v>Comatose</v>
      </c>
      <c r="T182" s="25"/>
      <c r="U182" s="24" t="str">
        <f ca="1">IFERROR(__xludf.DUMMYFUNCTION("""COMPUTED_VALUE"""),"Cheek Pouch")</f>
        <v>Cheek Pouch</v>
      </c>
      <c r="V182" s="25"/>
      <c r="W182" s="25"/>
      <c r="X182" s="25"/>
      <c r="Y182" s="25" t="str">
        <f ca="1">IFERROR(__xludf.DUMMYFUNCTION("""COMPUTED_VALUE"""),"Erinys Path W (wild)")</f>
        <v>Erinys Path W (wild)</v>
      </c>
    </row>
    <row r="183" spans="1:25" x14ac:dyDescent="0.25">
      <c r="A183" s="15" t="str">
        <f ca="1">IFERROR(__xludf.DUMMYFUNCTION("""COMPUTED_VALUE"""),"Wingull")</f>
        <v>Wingull</v>
      </c>
      <c r="B183" s="16">
        <f ca="1">IFERROR(__xludf.DUMMYFUNCTION("""COMPUTED_VALUE"""),182)</f>
        <v>182</v>
      </c>
      <c r="C183" s="3" t="str">
        <f ca="1">IFERROR(__xludf.DUMMYFUNCTION("""COMPUTED_VALUE"""),"Water")</f>
        <v>Water</v>
      </c>
      <c r="D183" s="3" t="str">
        <f ca="1">IFERROR(__xludf.DUMMYFUNCTION("""COMPUTED_VALUE"""),"Flying")</f>
        <v>Flying</v>
      </c>
      <c r="E183" s="17">
        <f ca="1">IFERROR(__xludf.DUMMYFUNCTION("""COMPUTED_VALUE"""),40)</f>
        <v>40</v>
      </c>
      <c r="F183" s="17">
        <f ca="1">IFERROR(__xludf.DUMMYFUNCTION("""COMPUTED_VALUE"""),0)</f>
        <v>0</v>
      </c>
      <c r="G183" s="18">
        <f ca="1">IFERROR(__xludf.DUMMYFUNCTION("""COMPUTED_VALUE"""),30)</f>
        <v>30</v>
      </c>
      <c r="H183" s="18">
        <f ca="1">IFERROR(__xludf.DUMMYFUNCTION("""COMPUTED_VALUE"""),0)</f>
        <v>0</v>
      </c>
      <c r="I183" s="19">
        <f ca="1">IFERROR(__xludf.DUMMYFUNCTION("""COMPUTED_VALUE"""),30)</f>
        <v>30</v>
      </c>
      <c r="J183" s="19">
        <f ca="1">IFERROR(__xludf.DUMMYFUNCTION("""COMPUTED_VALUE"""),0)</f>
        <v>0</v>
      </c>
      <c r="K183" s="20">
        <f ca="1">IFERROR(__xludf.DUMMYFUNCTION("""COMPUTED_VALUE"""),55)</f>
        <v>55</v>
      </c>
      <c r="L183" s="20">
        <f ca="1">IFERROR(__xludf.DUMMYFUNCTION("""COMPUTED_VALUE"""),0)</f>
        <v>0</v>
      </c>
      <c r="M183" s="21">
        <f ca="1">IFERROR(__xludf.DUMMYFUNCTION("""COMPUTED_VALUE"""),30)</f>
        <v>30</v>
      </c>
      <c r="N183" s="21">
        <f ca="1">IFERROR(__xludf.DUMMYFUNCTION("""COMPUTED_VALUE"""),0)</f>
        <v>0</v>
      </c>
      <c r="O183" s="22">
        <f ca="1">IFERROR(__xludf.DUMMYFUNCTION("""COMPUTED_VALUE"""),85)</f>
        <v>85</v>
      </c>
      <c r="P183" s="22">
        <f ca="1">IFERROR(__xludf.DUMMYFUNCTION("""COMPUTED_VALUE"""),0)</f>
        <v>0</v>
      </c>
      <c r="Q183" s="23">
        <f ca="1">IFERROR(__xludf.DUMMYFUNCTION("""COMPUTED_VALUE"""),270)</f>
        <v>270</v>
      </c>
      <c r="R183" s="23">
        <f ca="1">IFERROR(__xludf.DUMMYFUNCTION("""COMPUTED_VALUE"""),0)</f>
        <v>0</v>
      </c>
      <c r="S183" s="24" t="str">
        <f ca="1">IFERROR(__xludf.DUMMYFUNCTION("""COMPUTED_VALUE"""),"Keen Eye")</f>
        <v>Keen Eye</v>
      </c>
      <c r="T183" s="24" t="str">
        <f ca="1">IFERROR(__xludf.DUMMYFUNCTION("""COMPUTED_VALUE"""),"Hydration")</f>
        <v>Hydration</v>
      </c>
      <c r="U183" s="24" t="str">
        <f ca="1">IFERROR(__xludf.DUMMYFUNCTION("""COMPUTED_VALUE"""),"Rain Dish")</f>
        <v>Rain Dish</v>
      </c>
      <c r="V183" s="25"/>
      <c r="W183" s="25" t="str">
        <f ca="1">IFERROR(__xludf.DUMMYFUNCTION("""COMPUTED_VALUE"""),"Pretty Feather")</f>
        <v>Pretty Feather</v>
      </c>
      <c r="X183" s="25"/>
      <c r="Y183" s="25" t="str">
        <f ca="1">IFERROR(__xludf.DUMMYFUNCTION("""COMPUTED_VALUE"""),"Kalami City, Pythios Town (wild)")</f>
        <v>Kalami City, Pythios Town (wild)</v>
      </c>
    </row>
    <row r="184" spans="1:25" x14ac:dyDescent="0.25">
      <c r="A184" s="15" t="str">
        <f ca="1">IFERROR(__xludf.DUMMYFUNCTION("""COMPUTED_VALUE"""),"Pelipper")</f>
        <v>Pelipper</v>
      </c>
      <c r="B184" s="16">
        <f ca="1">IFERROR(__xludf.DUMMYFUNCTION("""COMPUTED_VALUE"""),183)</f>
        <v>183</v>
      </c>
      <c r="C184" s="3" t="str">
        <f ca="1">IFERROR(__xludf.DUMMYFUNCTION("""COMPUTED_VALUE"""),"Water")</f>
        <v>Water</v>
      </c>
      <c r="D184" s="3" t="str">
        <f ca="1">IFERROR(__xludf.DUMMYFUNCTION("""COMPUTED_VALUE"""),"Flying")</f>
        <v>Flying</v>
      </c>
      <c r="E184" s="17">
        <f ca="1">IFERROR(__xludf.DUMMYFUNCTION("""COMPUTED_VALUE"""),75)</f>
        <v>75</v>
      </c>
      <c r="F184" s="17">
        <f ca="1">IFERROR(__xludf.DUMMYFUNCTION("""COMPUTED_VALUE"""),15)</f>
        <v>15</v>
      </c>
      <c r="G184" s="18">
        <f ca="1">IFERROR(__xludf.DUMMYFUNCTION("""COMPUTED_VALUE"""),50)</f>
        <v>50</v>
      </c>
      <c r="H184" s="18">
        <f ca="1">IFERROR(__xludf.DUMMYFUNCTION("""COMPUTED_VALUE"""),0)</f>
        <v>0</v>
      </c>
      <c r="I184" s="19">
        <f ca="1">IFERROR(__xludf.DUMMYFUNCTION("""COMPUTED_VALUE"""),100)</f>
        <v>100</v>
      </c>
      <c r="J184" s="19">
        <f ca="1">IFERROR(__xludf.DUMMYFUNCTION("""COMPUTED_VALUE"""),0)</f>
        <v>0</v>
      </c>
      <c r="K184" s="20">
        <f ca="1">IFERROR(__xludf.DUMMYFUNCTION("""COMPUTED_VALUE"""),95)</f>
        <v>95</v>
      </c>
      <c r="L184" s="20">
        <f ca="1">IFERROR(__xludf.DUMMYFUNCTION("""COMPUTED_VALUE"""),0)</f>
        <v>0</v>
      </c>
      <c r="M184" s="21">
        <f ca="1">IFERROR(__xludf.DUMMYFUNCTION("""COMPUTED_VALUE"""),75)</f>
        <v>75</v>
      </c>
      <c r="N184" s="21">
        <f ca="1">IFERROR(__xludf.DUMMYFUNCTION("""COMPUTED_VALUE"""),5)</f>
        <v>5</v>
      </c>
      <c r="O184" s="22">
        <f ca="1">IFERROR(__xludf.DUMMYFUNCTION("""COMPUTED_VALUE"""),65)</f>
        <v>65</v>
      </c>
      <c r="P184" s="22">
        <f ca="1">IFERROR(__xludf.DUMMYFUNCTION("""COMPUTED_VALUE"""),0)</f>
        <v>0</v>
      </c>
      <c r="Q184" s="23">
        <f ca="1">IFERROR(__xludf.DUMMYFUNCTION("""COMPUTED_VALUE"""),460)</f>
        <v>460</v>
      </c>
      <c r="R184" s="23">
        <f ca="1">IFERROR(__xludf.DUMMYFUNCTION("""COMPUTED_VALUE"""),20)</f>
        <v>20</v>
      </c>
      <c r="S184" s="24" t="str">
        <f ca="1">IFERROR(__xludf.DUMMYFUNCTION("""COMPUTED_VALUE"""),"Keen Eye")</f>
        <v>Keen Eye</v>
      </c>
      <c r="T184" s="24" t="str">
        <f ca="1">IFERROR(__xludf.DUMMYFUNCTION("""COMPUTED_VALUE"""),"Drizzle")</f>
        <v>Drizzle</v>
      </c>
      <c r="U184" s="24" t="str">
        <f ca="1">IFERROR(__xludf.DUMMYFUNCTION("""COMPUTED_VALUE"""),"Rain Dish")</f>
        <v>Rain Dish</v>
      </c>
      <c r="V184" s="25" t="str">
        <f ca="1">IFERROR(__xludf.DUMMYFUNCTION("""COMPUTED_VALUE"""),"Lv. 25")</f>
        <v>Lv. 25</v>
      </c>
      <c r="W184" s="25" t="str">
        <f ca="1">IFERROR(__xludf.DUMMYFUNCTION("""COMPUTED_VALUE"""),"Pretty Feather")</f>
        <v>Pretty Feather</v>
      </c>
      <c r="X184" s="25"/>
      <c r="Y184" s="25" t="str">
        <f ca="1">IFERROR(__xludf.DUMMYFUNCTION("""COMPUTED_VALUE"""),"?")</f>
        <v>?</v>
      </c>
    </row>
    <row r="185" spans="1:25" x14ac:dyDescent="0.25">
      <c r="A185" s="15" t="str">
        <f ca="1">IFERROR(__xludf.DUMMYFUNCTION("""COMPUTED_VALUE"""),"Stantler")</f>
        <v>Stantler</v>
      </c>
      <c r="B185" s="16">
        <f ca="1">IFERROR(__xludf.DUMMYFUNCTION("""COMPUTED_VALUE"""),184)</f>
        <v>184</v>
      </c>
      <c r="C185" s="3" t="str">
        <f ca="1">IFERROR(__xludf.DUMMYFUNCTION("""COMPUTED_VALUE"""),"Normal")</f>
        <v>Normal</v>
      </c>
      <c r="D185" s="3"/>
      <c r="E185" s="17">
        <f ca="1">IFERROR(__xludf.DUMMYFUNCTION("""COMPUTED_VALUE"""),73)</f>
        <v>73</v>
      </c>
      <c r="F185" s="17">
        <f ca="1">IFERROR(__xludf.DUMMYFUNCTION("""COMPUTED_VALUE"""),0)</f>
        <v>0</v>
      </c>
      <c r="G185" s="18">
        <f ca="1">IFERROR(__xludf.DUMMYFUNCTION("""COMPUTED_VALUE"""),85)</f>
        <v>85</v>
      </c>
      <c r="H185" s="18">
        <f ca="1">IFERROR(__xludf.DUMMYFUNCTION("""COMPUTED_VALUE"""),-10)</f>
        <v>-10</v>
      </c>
      <c r="I185" s="19">
        <f ca="1">IFERROR(__xludf.DUMMYFUNCTION("""COMPUTED_VALUE"""),62)</f>
        <v>62</v>
      </c>
      <c r="J185" s="19">
        <f ca="1">IFERROR(__xludf.DUMMYFUNCTION("""COMPUTED_VALUE"""),0)</f>
        <v>0</v>
      </c>
      <c r="K185" s="20">
        <f ca="1">IFERROR(__xludf.DUMMYFUNCTION("""COMPUTED_VALUE"""),95)</f>
        <v>95</v>
      </c>
      <c r="L185" s="20">
        <f ca="1">IFERROR(__xludf.DUMMYFUNCTION("""COMPUTED_VALUE"""),10)</f>
        <v>10</v>
      </c>
      <c r="M185" s="21">
        <f ca="1">IFERROR(__xludf.DUMMYFUNCTION("""COMPUTED_VALUE"""),65)</f>
        <v>65</v>
      </c>
      <c r="N185" s="21">
        <f ca="1">IFERROR(__xludf.DUMMYFUNCTION("""COMPUTED_VALUE"""),0)</f>
        <v>0</v>
      </c>
      <c r="O185" s="22">
        <f ca="1">IFERROR(__xludf.DUMMYFUNCTION("""COMPUTED_VALUE"""),85)</f>
        <v>85</v>
      </c>
      <c r="P185" s="22">
        <f ca="1">IFERROR(__xludf.DUMMYFUNCTION("""COMPUTED_VALUE"""),0)</f>
        <v>0</v>
      </c>
      <c r="Q185" s="23">
        <f ca="1">IFERROR(__xludf.DUMMYFUNCTION("""COMPUTED_VALUE"""),465)</f>
        <v>465</v>
      </c>
      <c r="R185" s="23">
        <f ca="1">IFERROR(__xludf.DUMMYFUNCTION("""COMPUTED_VALUE"""),0)</f>
        <v>0</v>
      </c>
      <c r="S185" s="24" t="str">
        <f ca="1">IFERROR(__xludf.DUMMYFUNCTION("""COMPUTED_VALUE"""),"Intimidate")</f>
        <v>Intimidate</v>
      </c>
      <c r="T185" s="24" t="str">
        <f ca="1">IFERROR(__xludf.DUMMYFUNCTION("""COMPUTED_VALUE"""),"Sap Sipper")</f>
        <v>Sap Sipper</v>
      </c>
      <c r="U185" s="24" t="str">
        <f ca="1">IFERROR(__xludf.DUMMYFUNCTION("""COMPUTED_VALUE"""),"Frisk")</f>
        <v>Frisk</v>
      </c>
      <c r="V185" s="25"/>
      <c r="W185" s="25"/>
      <c r="X185" s="25"/>
      <c r="Y185" s="25" t="str">
        <f ca="1">IFERROR(__xludf.DUMMYFUNCTION("""COMPUTED_VALUE"""),"Erinys Path W (wild)")</f>
        <v>Erinys Path W (wild)</v>
      </c>
    </row>
    <row r="186" spans="1:25" x14ac:dyDescent="0.25">
      <c r="A186" s="15" t="str">
        <f ca="1">IFERROR(__xludf.DUMMYFUNCTION("""COMPUTED_VALUE"""),"Wyrdeer")</f>
        <v>Wyrdeer</v>
      </c>
      <c r="B186" s="16">
        <f ca="1">IFERROR(__xludf.DUMMYFUNCTION("""COMPUTED_VALUE"""),185)</f>
        <v>185</v>
      </c>
      <c r="C186" s="3" t="str">
        <f ca="1">IFERROR(__xludf.DUMMYFUNCTION("""COMPUTED_VALUE"""),"Normal")</f>
        <v>Normal</v>
      </c>
      <c r="D186" s="3" t="str">
        <f ca="1">IFERROR(__xludf.DUMMYFUNCTION("""COMPUTED_VALUE"""),"Psychic")</f>
        <v>Psychic</v>
      </c>
      <c r="E186" s="17">
        <f ca="1">IFERROR(__xludf.DUMMYFUNCTION("""COMPUTED_VALUE"""),103)</f>
        <v>103</v>
      </c>
      <c r="F186" s="17">
        <f ca="1">IFERROR(__xludf.DUMMYFUNCTION("""COMPUTED_VALUE"""),0)</f>
        <v>0</v>
      </c>
      <c r="G186" s="18">
        <f ca="1">IFERROR(__xludf.DUMMYFUNCTION("""COMPUTED_VALUE"""),100)</f>
        <v>100</v>
      </c>
      <c r="H186" s="18">
        <f ca="1">IFERROR(__xludf.DUMMYFUNCTION("""COMPUTED_VALUE"""),-5)</f>
        <v>-5</v>
      </c>
      <c r="I186" s="19">
        <f ca="1">IFERROR(__xludf.DUMMYFUNCTION("""COMPUTED_VALUE"""),72)</f>
        <v>72</v>
      </c>
      <c r="J186" s="19">
        <f ca="1">IFERROR(__xludf.DUMMYFUNCTION("""COMPUTED_VALUE"""),0)</f>
        <v>0</v>
      </c>
      <c r="K186" s="20">
        <f ca="1">IFERROR(__xludf.DUMMYFUNCTION("""COMPUTED_VALUE"""),110)</f>
        <v>110</v>
      </c>
      <c r="L186" s="20">
        <f ca="1">IFERROR(__xludf.DUMMYFUNCTION("""COMPUTED_VALUE"""),5)</f>
        <v>5</v>
      </c>
      <c r="M186" s="21">
        <f ca="1">IFERROR(__xludf.DUMMYFUNCTION("""COMPUTED_VALUE"""),75)</f>
        <v>75</v>
      </c>
      <c r="N186" s="21">
        <f ca="1">IFERROR(__xludf.DUMMYFUNCTION("""COMPUTED_VALUE"""),0)</f>
        <v>0</v>
      </c>
      <c r="O186" s="22">
        <f ca="1">IFERROR(__xludf.DUMMYFUNCTION("""COMPUTED_VALUE"""),65)</f>
        <v>65</v>
      </c>
      <c r="P186" s="22">
        <f ca="1">IFERROR(__xludf.DUMMYFUNCTION("""COMPUTED_VALUE"""),0)</f>
        <v>0</v>
      </c>
      <c r="Q186" s="23">
        <f ca="1">IFERROR(__xludf.DUMMYFUNCTION("""COMPUTED_VALUE"""),525)</f>
        <v>525</v>
      </c>
      <c r="R186" s="23">
        <f ca="1">IFERROR(__xludf.DUMMYFUNCTION("""COMPUTED_VALUE"""),0)</f>
        <v>0</v>
      </c>
      <c r="S186" s="24" t="str">
        <f ca="1">IFERROR(__xludf.DUMMYFUNCTION("""COMPUTED_VALUE"""),"Intimidate")</f>
        <v>Intimidate</v>
      </c>
      <c r="T186" s="24" t="str">
        <f ca="1">IFERROR(__xludf.DUMMYFUNCTION("""COMPUTED_VALUE"""),"Sap Sipper")</f>
        <v>Sap Sipper</v>
      </c>
      <c r="U186" s="24" t="str">
        <f ca="1">IFERROR(__xludf.DUMMYFUNCTION("""COMPUTED_VALUE"""),"Analytic")</f>
        <v>Analytic</v>
      </c>
      <c r="V186" s="25" t="str">
        <f ca="1">IFERROR(__xludf.DUMMYFUNCTION("""COMPUTED_VALUE"""),"Lv. after using Psyshield Bash 20x")</f>
        <v>Lv. after using Psyshield Bash 20x</v>
      </c>
      <c r="W186" s="25"/>
      <c r="X186" s="25"/>
      <c r="Y186" s="25" t="str">
        <f ca="1">IFERROR(__xludf.DUMMYFUNCTION("""COMPUTED_VALUE"""),"Stantler (evolve)")</f>
        <v>Stantler (evolve)</v>
      </c>
    </row>
    <row r="187" spans="1:25" x14ac:dyDescent="0.25">
      <c r="A187" s="15" t="str">
        <f ca="1">IFERROR(__xludf.DUMMYFUNCTION("""COMPUTED_VALUE"""),"Snorunt")</f>
        <v>Snorunt</v>
      </c>
      <c r="B187" s="16">
        <f ca="1">IFERROR(__xludf.DUMMYFUNCTION("""COMPUTED_VALUE"""),186)</f>
        <v>186</v>
      </c>
      <c r="C187" s="3" t="str">
        <f ca="1">IFERROR(__xludf.DUMMYFUNCTION("""COMPUTED_VALUE"""),"Ice")</f>
        <v>Ice</v>
      </c>
      <c r="D187" s="3"/>
      <c r="E187" s="17">
        <f ca="1">IFERROR(__xludf.DUMMYFUNCTION("""COMPUTED_VALUE"""),50)</f>
        <v>50</v>
      </c>
      <c r="F187" s="17">
        <f ca="1">IFERROR(__xludf.DUMMYFUNCTION("""COMPUTED_VALUE"""),0)</f>
        <v>0</v>
      </c>
      <c r="G187" s="18">
        <f ca="1">IFERROR(__xludf.DUMMYFUNCTION("""COMPUTED_VALUE"""),50)</f>
        <v>50</v>
      </c>
      <c r="H187" s="18">
        <f ca="1">IFERROR(__xludf.DUMMYFUNCTION("""COMPUTED_VALUE"""),0)</f>
        <v>0</v>
      </c>
      <c r="I187" s="19">
        <f ca="1">IFERROR(__xludf.DUMMYFUNCTION("""COMPUTED_VALUE"""),50)</f>
        <v>50</v>
      </c>
      <c r="J187" s="19">
        <f ca="1">IFERROR(__xludf.DUMMYFUNCTION("""COMPUTED_VALUE"""),0)</f>
        <v>0</v>
      </c>
      <c r="K187" s="20">
        <f ca="1">IFERROR(__xludf.DUMMYFUNCTION("""COMPUTED_VALUE"""),50)</f>
        <v>50</v>
      </c>
      <c r="L187" s="20">
        <f ca="1">IFERROR(__xludf.DUMMYFUNCTION("""COMPUTED_VALUE"""),0)</f>
        <v>0</v>
      </c>
      <c r="M187" s="21">
        <f ca="1">IFERROR(__xludf.DUMMYFUNCTION("""COMPUTED_VALUE"""),50)</f>
        <v>50</v>
      </c>
      <c r="N187" s="21">
        <f ca="1">IFERROR(__xludf.DUMMYFUNCTION("""COMPUTED_VALUE"""),0)</f>
        <v>0</v>
      </c>
      <c r="O187" s="22">
        <f ca="1">IFERROR(__xludf.DUMMYFUNCTION("""COMPUTED_VALUE"""),50)</f>
        <v>50</v>
      </c>
      <c r="P187" s="22">
        <f ca="1">IFERROR(__xludf.DUMMYFUNCTION("""COMPUTED_VALUE"""),0)</f>
        <v>0</v>
      </c>
      <c r="Q187" s="23">
        <f ca="1">IFERROR(__xludf.DUMMYFUNCTION("""COMPUTED_VALUE"""),300)</f>
        <v>300</v>
      </c>
      <c r="R187" s="23">
        <f ca="1">IFERROR(__xludf.DUMMYFUNCTION("""COMPUTED_VALUE"""),0)</f>
        <v>0</v>
      </c>
      <c r="S187" s="24" t="str">
        <f ca="1">IFERROR(__xludf.DUMMYFUNCTION("""COMPUTED_VALUE"""),"Inner Focus")</f>
        <v>Inner Focus</v>
      </c>
      <c r="T187" s="24" t="str">
        <f ca="1">IFERROR(__xludf.DUMMYFUNCTION("""COMPUTED_VALUE"""),"Ice Body")</f>
        <v>Ice Body</v>
      </c>
      <c r="U187" s="24" t="str">
        <f ca="1">IFERROR(__xludf.DUMMYFUNCTION("""COMPUTED_VALUE"""),"Moody")</f>
        <v>Moody</v>
      </c>
      <c r="V187" s="25"/>
      <c r="W187" s="25"/>
      <c r="X187" s="25" t="str">
        <f ca="1">IFERROR(__xludf.DUMMYFUNCTION("""COMPUTED_VALUE"""),"Snowball")</f>
        <v>Snowball</v>
      </c>
      <c r="Y187" s="25" t="str">
        <f ca="1">IFERROR(__xludf.DUMMYFUNCTION("""COMPUTED_VALUE"""),"Froslass Cavern (wild)")</f>
        <v>Froslass Cavern (wild)</v>
      </c>
    </row>
    <row r="188" spans="1:25" x14ac:dyDescent="0.25">
      <c r="A188" s="15" t="str">
        <f ca="1">IFERROR(__xludf.DUMMYFUNCTION("""COMPUTED_VALUE"""),"Glalie")</f>
        <v>Glalie</v>
      </c>
      <c r="B188" s="16">
        <f ca="1">IFERROR(__xludf.DUMMYFUNCTION("""COMPUTED_VALUE"""),187)</f>
        <v>187</v>
      </c>
      <c r="C188" s="3" t="str">
        <f ca="1">IFERROR(__xludf.DUMMYFUNCTION("""COMPUTED_VALUE"""),"Ice")</f>
        <v>Ice</v>
      </c>
      <c r="D188" s="3"/>
      <c r="E188" s="17">
        <f ca="1">IFERROR(__xludf.DUMMYFUNCTION("""COMPUTED_VALUE"""),90)</f>
        <v>90</v>
      </c>
      <c r="F188" s="17">
        <f ca="1">IFERROR(__xludf.DUMMYFUNCTION("""COMPUTED_VALUE"""),10)</f>
        <v>10</v>
      </c>
      <c r="G188" s="18">
        <f ca="1">IFERROR(__xludf.DUMMYFUNCTION("""COMPUTED_VALUE"""),90)</f>
        <v>90</v>
      </c>
      <c r="H188" s="18">
        <f ca="1">IFERROR(__xludf.DUMMYFUNCTION("""COMPUTED_VALUE"""),10)</f>
        <v>10</v>
      </c>
      <c r="I188" s="19">
        <f ca="1">IFERROR(__xludf.DUMMYFUNCTION("""COMPUTED_VALUE"""),100)</f>
        <v>100</v>
      </c>
      <c r="J188" s="19">
        <f ca="1">IFERROR(__xludf.DUMMYFUNCTION("""COMPUTED_VALUE"""),20)</f>
        <v>20</v>
      </c>
      <c r="K188" s="20">
        <f ca="1">IFERROR(__xludf.DUMMYFUNCTION("""COMPUTED_VALUE"""),70)</f>
        <v>70</v>
      </c>
      <c r="L188" s="20">
        <f ca="1">IFERROR(__xludf.DUMMYFUNCTION("""COMPUTED_VALUE"""),-10)</f>
        <v>-10</v>
      </c>
      <c r="M188" s="21">
        <f ca="1">IFERROR(__xludf.DUMMYFUNCTION("""COMPUTED_VALUE"""),90)</f>
        <v>90</v>
      </c>
      <c r="N188" s="21">
        <f ca="1">IFERROR(__xludf.DUMMYFUNCTION("""COMPUTED_VALUE"""),10)</f>
        <v>10</v>
      </c>
      <c r="O188" s="22">
        <f ca="1">IFERROR(__xludf.DUMMYFUNCTION("""COMPUTED_VALUE"""),80)</f>
        <v>80</v>
      </c>
      <c r="P188" s="22">
        <f ca="1">IFERROR(__xludf.DUMMYFUNCTION("""COMPUTED_VALUE"""),0)</f>
        <v>0</v>
      </c>
      <c r="Q188" s="23">
        <f ca="1">IFERROR(__xludf.DUMMYFUNCTION("""COMPUTED_VALUE"""),520)</f>
        <v>520</v>
      </c>
      <c r="R188" s="23">
        <f ca="1">IFERROR(__xludf.DUMMYFUNCTION("""COMPUTED_VALUE"""),40)</f>
        <v>40</v>
      </c>
      <c r="S188" s="24" t="str">
        <f ca="1">IFERROR(__xludf.DUMMYFUNCTION("""COMPUTED_VALUE"""),"Strong Jaw")</f>
        <v>Strong Jaw</v>
      </c>
      <c r="T188" s="24" t="str">
        <f ca="1">IFERROR(__xludf.DUMMYFUNCTION("""COMPUTED_VALUE"""),"Ice Body")</f>
        <v>Ice Body</v>
      </c>
      <c r="U188" s="24" t="str">
        <f ca="1">IFERROR(__xludf.DUMMYFUNCTION("""COMPUTED_VALUE"""),"Moody")</f>
        <v>Moody</v>
      </c>
      <c r="V188" s="25" t="str">
        <f ca="1">IFERROR(__xludf.DUMMYFUNCTION("""COMPUTED_VALUE"""),"Lv. 32")</f>
        <v>Lv. 32</v>
      </c>
      <c r="W188" s="25"/>
      <c r="X188" s="25"/>
      <c r="Y188" s="25" t="str">
        <f ca="1">IFERROR(__xludf.DUMMYFUNCTION("""COMPUTED_VALUE"""),"Snorunt (evolve)")</f>
        <v>Snorunt (evolve)</v>
      </c>
    </row>
    <row r="189" spans="1:25" x14ac:dyDescent="0.25">
      <c r="A189" s="15" t="str">
        <f ca="1">IFERROR(__xludf.DUMMYFUNCTION("""COMPUTED_VALUE"""),"Froslass")</f>
        <v>Froslass</v>
      </c>
      <c r="B189" s="16">
        <f ca="1">IFERROR(__xludf.DUMMYFUNCTION("""COMPUTED_VALUE"""),188)</f>
        <v>188</v>
      </c>
      <c r="C189" s="3" t="str">
        <f ca="1">IFERROR(__xludf.DUMMYFUNCTION("""COMPUTED_VALUE"""),"Ice")</f>
        <v>Ice</v>
      </c>
      <c r="D189" s="3" t="str">
        <f ca="1">IFERROR(__xludf.DUMMYFUNCTION("""COMPUTED_VALUE"""),"Ghost")</f>
        <v>Ghost</v>
      </c>
      <c r="E189" s="17">
        <f ca="1">IFERROR(__xludf.DUMMYFUNCTION("""COMPUTED_VALUE"""),80)</f>
        <v>80</v>
      </c>
      <c r="F189" s="17">
        <f ca="1">IFERROR(__xludf.DUMMYFUNCTION("""COMPUTED_VALUE"""),10)</f>
        <v>10</v>
      </c>
      <c r="G189" s="18">
        <f ca="1">IFERROR(__xludf.DUMMYFUNCTION("""COMPUTED_VALUE"""),75)</f>
        <v>75</v>
      </c>
      <c r="H189" s="18">
        <f ca="1">IFERROR(__xludf.DUMMYFUNCTION("""COMPUTED_VALUE"""),-5)</f>
        <v>-5</v>
      </c>
      <c r="I189" s="19">
        <f ca="1">IFERROR(__xludf.DUMMYFUNCTION("""COMPUTED_VALUE"""),70)</f>
        <v>70</v>
      </c>
      <c r="J189" s="19">
        <f ca="1">IFERROR(__xludf.DUMMYFUNCTION("""COMPUTED_VALUE"""),0)</f>
        <v>0</v>
      </c>
      <c r="K189" s="20">
        <f ca="1">IFERROR(__xludf.DUMMYFUNCTION("""COMPUTED_VALUE"""),100)</f>
        <v>100</v>
      </c>
      <c r="L189" s="20">
        <f ca="1">IFERROR(__xludf.DUMMYFUNCTION("""COMPUTED_VALUE"""),20)</f>
        <v>20</v>
      </c>
      <c r="M189" s="21">
        <f ca="1">IFERROR(__xludf.DUMMYFUNCTION("""COMPUTED_VALUE"""),71)</f>
        <v>71</v>
      </c>
      <c r="N189" s="21">
        <f ca="1">IFERROR(__xludf.DUMMYFUNCTION("""COMPUTED_VALUE"""),1)</f>
        <v>1</v>
      </c>
      <c r="O189" s="22">
        <f ca="1">IFERROR(__xludf.DUMMYFUNCTION("""COMPUTED_VALUE"""),124)</f>
        <v>124</v>
      </c>
      <c r="P189" s="22">
        <f ca="1">IFERROR(__xludf.DUMMYFUNCTION("""COMPUTED_VALUE"""),14)</f>
        <v>14</v>
      </c>
      <c r="Q189" s="23">
        <f ca="1">IFERROR(__xludf.DUMMYFUNCTION("""COMPUTED_VALUE"""),520)</f>
        <v>520</v>
      </c>
      <c r="R189" s="23">
        <f ca="1">IFERROR(__xludf.DUMMYFUNCTION("""COMPUTED_VALUE"""),40)</f>
        <v>40</v>
      </c>
      <c r="S189" s="24" t="str">
        <f ca="1">IFERROR(__xludf.DUMMYFUNCTION("""COMPUTED_VALUE"""),"Snow Cloak")</f>
        <v>Snow Cloak</v>
      </c>
      <c r="T189" s="24" t="str">
        <f ca="1">IFERROR(__xludf.DUMMYFUNCTION("""COMPUTED_VALUE"""),"Ice Scales")</f>
        <v>Ice Scales</v>
      </c>
      <c r="U189" s="24" t="str">
        <f ca="1">IFERROR(__xludf.DUMMYFUNCTION("""COMPUTED_VALUE"""),"Cursed Body")</f>
        <v>Cursed Body</v>
      </c>
      <c r="V189" s="25" t="str">
        <f ca="1">IFERROR(__xludf.DUMMYFUNCTION("""COMPUTED_VALUE"""),"Dawn Stone")</f>
        <v>Dawn Stone</v>
      </c>
      <c r="W189" s="25"/>
      <c r="X189" s="25"/>
      <c r="Y189" s="25" t="str">
        <f ca="1">IFERROR(__xludf.DUMMYFUNCTION("""COMPUTED_VALUE"""),"Snorunt (evolve)")</f>
        <v>Snorunt (evolve)</v>
      </c>
    </row>
    <row r="190" spans="1:25" x14ac:dyDescent="0.25">
      <c r="A190" s="15" t="str">
        <f ca="1">IFERROR(__xludf.DUMMYFUNCTION("""COMPUTED_VALUE"""),"Spheal")</f>
        <v>Spheal</v>
      </c>
      <c r="B190" s="16">
        <f ca="1">IFERROR(__xludf.DUMMYFUNCTION("""COMPUTED_VALUE"""),189)</f>
        <v>189</v>
      </c>
      <c r="C190" s="3" t="str">
        <f ca="1">IFERROR(__xludf.DUMMYFUNCTION("""COMPUTED_VALUE"""),"Ice")</f>
        <v>Ice</v>
      </c>
      <c r="D190" s="3" t="str">
        <f ca="1">IFERROR(__xludf.DUMMYFUNCTION("""COMPUTED_VALUE"""),"Water")</f>
        <v>Water</v>
      </c>
      <c r="E190" s="17">
        <f ca="1">IFERROR(__xludf.DUMMYFUNCTION("""COMPUTED_VALUE"""),75)</f>
        <v>75</v>
      </c>
      <c r="F190" s="17">
        <f ca="1">IFERROR(__xludf.DUMMYFUNCTION("""COMPUTED_VALUE"""),5)</f>
        <v>5</v>
      </c>
      <c r="G190" s="18">
        <f ca="1">IFERROR(__xludf.DUMMYFUNCTION("""COMPUTED_VALUE"""),45)</f>
        <v>45</v>
      </c>
      <c r="H190" s="18">
        <f ca="1">IFERROR(__xludf.DUMMYFUNCTION("""COMPUTED_VALUE"""),5)</f>
        <v>5</v>
      </c>
      <c r="I190" s="19">
        <f ca="1">IFERROR(__xludf.DUMMYFUNCTION("""COMPUTED_VALUE"""),50)</f>
        <v>50</v>
      </c>
      <c r="J190" s="19">
        <f ca="1">IFERROR(__xludf.DUMMYFUNCTION("""COMPUTED_VALUE"""),0)</f>
        <v>0</v>
      </c>
      <c r="K190" s="20">
        <f ca="1">IFERROR(__xludf.DUMMYFUNCTION("""COMPUTED_VALUE"""),55)</f>
        <v>55</v>
      </c>
      <c r="L190" s="20">
        <f ca="1">IFERROR(__xludf.DUMMYFUNCTION("""COMPUTED_VALUE"""),0)</f>
        <v>0</v>
      </c>
      <c r="M190" s="21">
        <f ca="1">IFERROR(__xludf.DUMMYFUNCTION("""COMPUTED_VALUE"""),50)</f>
        <v>50</v>
      </c>
      <c r="N190" s="21">
        <f ca="1">IFERROR(__xludf.DUMMYFUNCTION("""COMPUTED_VALUE"""),0)</f>
        <v>0</v>
      </c>
      <c r="O190" s="22">
        <f ca="1">IFERROR(__xludf.DUMMYFUNCTION("""COMPUTED_VALUE"""),25)</f>
        <v>25</v>
      </c>
      <c r="P190" s="22">
        <f ca="1">IFERROR(__xludf.DUMMYFUNCTION("""COMPUTED_VALUE"""),0)</f>
        <v>0</v>
      </c>
      <c r="Q190" s="23">
        <f ca="1">IFERROR(__xludf.DUMMYFUNCTION("""COMPUTED_VALUE"""),300)</f>
        <v>300</v>
      </c>
      <c r="R190" s="23">
        <f ca="1">IFERROR(__xludf.DUMMYFUNCTION("""COMPUTED_VALUE"""),10)</f>
        <v>10</v>
      </c>
      <c r="S190" s="24" t="str">
        <f ca="1">IFERROR(__xludf.DUMMYFUNCTION("""COMPUTED_VALUE"""),"Thick Layers")</f>
        <v>Thick Layers</v>
      </c>
      <c r="T190" s="24" t="str">
        <f ca="1">IFERROR(__xludf.DUMMYFUNCTION("""COMPUTED_VALUE"""),"Fur Coat")</f>
        <v>Fur Coat</v>
      </c>
      <c r="U190" s="24" t="str">
        <f ca="1">IFERROR(__xludf.DUMMYFUNCTION("""COMPUTED_VALUE"""),"Ice Scales")</f>
        <v>Ice Scales</v>
      </c>
      <c r="V190" s="25"/>
      <c r="W190" s="25"/>
      <c r="X190" s="25"/>
      <c r="Y190" s="25" t="str">
        <f ca="1">IFERROR(__xludf.DUMMYFUNCTION("""COMPUTED_VALUE"""),"Pythios Town (surf) Pythios Town (GR)(fish) Froslass Cavern")</f>
        <v>Pythios Town (surf) Pythios Town (GR)(fish) Froslass Cavern</v>
      </c>
    </row>
    <row r="191" spans="1:25" x14ac:dyDescent="0.25">
      <c r="A191" s="15" t="str">
        <f ca="1">IFERROR(__xludf.DUMMYFUNCTION("""COMPUTED_VALUE"""),"Sealeo")</f>
        <v>Sealeo</v>
      </c>
      <c r="B191" s="16">
        <f ca="1">IFERROR(__xludf.DUMMYFUNCTION("""COMPUTED_VALUE"""),190)</f>
        <v>190</v>
      </c>
      <c r="C191" s="3" t="str">
        <f ca="1">IFERROR(__xludf.DUMMYFUNCTION("""COMPUTED_VALUE"""),"Ice")</f>
        <v>Ice</v>
      </c>
      <c r="D191" s="3" t="str">
        <f ca="1">IFERROR(__xludf.DUMMYFUNCTION("""COMPUTED_VALUE"""),"Water")</f>
        <v>Water</v>
      </c>
      <c r="E191" s="17">
        <f ca="1">IFERROR(__xludf.DUMMYFUNCTION("""COMPUTED_VALUE"""),95)</f>
        <v>95</v>
      </c>
      <c r="F191" s="17">
        <f ca="1">IFERROR(__xludf.DUMMYFUNCTION("""COMPUTED_VALUE"""),5)</f>
        <v>5</v>
      </c>
      <c r="G191" s="18">
        <f ca="1">IFERROR(__xludf.DUMMYFUNCTION("""COMPUTED_VALUE"""),60)</f>
        <v>60</v>
      </c>
      <c r="H191" s="18">
        <f ca="1">IFERROR(__xludf.DUMMYFUNCTION("""COMPUTED_VALUE"""),0)</f>
        <v>0</v>
      </c>
      <c r="I191" s="19">
        <f ca="1">IFERROR(__xludf.DUMMYFUNCTION("""COMPUTED_VALUE"""),70)</f>
        <v>70</v>
      </c>
      <c r="J191" s="19">
        <f ca="1">IFERROR(__xludf.DUMMYFUNCTION("""COMPUTED_VALUE"""),0)</f>
        <v>0</v>
      </c>
      <c r="K191" s="20">
        <f ca="1">IFERROR(__xludf.DUMMYFUNCTION("""COMPUTED_VALUE"""),80)</f>
        <v>80</v>
      </c>
      <c r="L191" s="20">
        <f ca="1">IFERROR(__xludf.DUMMYFUNCTION("""COMPUTED_VALUE"""),5)</f>
        <v>5</v>
      </c>
      <c r="M191" s="21">
        <f ca="1">IFERROR(__xludf.DUMMYFUNCTION("""COMPUTED_VALUE"""),70)</f>
        <v>70</v>
      </c>
      <c r="N191" s="21">
        <f ca="1">IFERROR(__xludf.DUMMYFUNCTION("""COMPUTED_VALUE"""),0)</f>
        <v>0</v>
      </c>
      <c r="O191" s="22">
        <f ca="1">IFERROR(__xludf.DUMMYFUNCTION("""COMPUTED_VALUE"""),45)</f>
        <v>45</v>
      </c>
      <c r="P191" s="22">
        <f ca="1">IFERROR(__xludf.DUMMYFUNCTION("""COMPUTED_VALUE"""),0)</f>
        <v>0</v>
      </c>
      <c r="Q191" s="23">
        <f ca="1">IFERROR(__xludf.DUMMYFUNCTION("""COMPUTED_VALUE"""),420)</f>
        <v>420</v>
      </c>
      <c r="R191" s="23">
        <f ca="1">IFERROR(__xludf.DUMMYFUNCTION("""COMPUTED_VALUE"""),10)</f>
        <v>10</v>
      </c>
      <c r="S191" s="24" t="str">
        <f ca="1">IFERROR(__xludf.DUMMYFUNCTION("""COMPUTED_VALUE"""),"Thick Layers")</f>
        <v>Thick Layers</v>
      </c>
      <c r="T191" s="24" t="str">
        <f ca="1">IFERROR(__xludf.DUMMYFUNCTION("""COMPUTED_VALUE"""),"Fur Coat")</f>
        <v>Fur Coat</v>
      </c>
      <c r="U191" s="24" t="str">
        <f ca="1">IFERROR(__xludf.DUMMYFUNCTION("""COMPUTED_VALUE"""),"Ice Scales")</f>
        <v>Ice Scales</v>
      </c>
      <c r="V191" s="25" t="str">
        <f ca="1">IFERROR(__xludf.DUMMYFUNCTION("""COMPUTED_VALUE"""),"Lv. 24")</f>
        <v>Lv. 24</v>
      </c>
      <c r="W191" s="25"/>
      <c r="X191" s="25"/>
      <c r="Y191" s="25" t="str">
        <f ca="1">IFERROR(__xludf.DUMMYFUNCTION("""COMPUTED_VALUE"""),"Froslass Cavern (wild)")</f>
        <v>Froslass Cavern (wild)</v>
      </c>
    </row>
    <row r="192" spans="1:25" x14ac:dyDescent="0.25">
      <c r="A192" s="15" t="str">
        <f ca="1">IFERROR(__xludf.DUMMYFUNCTION("""COMPUTED_VALUE"""),"Walrein")</f>
        <v>Walrein</v>
      </c>
      <c r="B192" s="16">
        <f ca="1">IFERROR(__xludf.DUMMYFUNCTION("""COMPUTED_VALUE"""),191)</f>
        <v>191</v>
      </c>
      <c r="C192" s="3" t="str">
        <f ca="1">IFERROR(__xludf.DUMMYFUNCTION("""COMPUTED_VALUE"""),"Ice")</f>
        <v>Ice</v>
      </c>
      <c r="D192" s="3" t="str">
        <f ca="1">IFERROR(__xludf.DUMMYFUNCTION("""COMPUTED_VALUE"""),"Water")</f>
        <v>Water</v>
      </c>
      <c r="E192" s="17">
        <f ca="1">IFERROR(__xludf.DUMMYFUNCTION("""COMPUTED_VALUE"""),120)</f>
        <v>120</v>
      </c>
      <c r="F192" s="17">
        <f ca="1">IFERROR(__xludf.DUMMYFUNCTION("""COMPUTED_VALUE"""),10)</f>
        <v>10</v>
      </c>
      <c r="G192" s="18">
        <f ca="1">IFERROR(__xludf.DUMMYFUNCTION("""COMPUTED_VALUE"""),85)</f>
        <v>85</v>
      </c>
      <c r="H192" s="18">
        <f ca="1">IFERROR(__xludf.DUMMYFUNCTION("""COMPUTED_VALUE"""),5)</f>
        <v>5</v>
      </c>
      <c r="I192" s="19">
        <f ca="1">IFERROR(__xludf.DUMMYFUNCTION("""COMPUTED_VALUE"""),90)</f>
        <v>90</v>
      </c>
      <c r="J192" s="19">
        <f ca="1">IFERROR(__xludf.DUMMYFUNCTION("""COMPUTED_VALUE"""),0)</f>
        <v>0</v>
      </c>
      <c r="K192" s="20">
        <f ca="1">IFERROR(__xludf.DUMMYFUNCTION("""COMPUTED_VALUE"""),100)</f>
        <v>100</v>
      </c>
      <c r="L192" s="20">
        <f ca="1">IFERROR(__xludf.DUMMYFUNCTION("""COMPUTED_VALUE"""),5)</f>
        <v>5</v>
      </c>
      <c r="M192" s="21">
        <f ca="1">IFERROR(__xludf.DUMMYFUNCTION("""COMPUTED_VALUE"""),90)</f>
        <v>90</v>
      </c>
      <c r="N192" s="21">
        <f ca="1">IFERROR(__xludf.DUMMYFUNCTION("""COMPUTED_VALUE"""),0)</f>
        <v>0</v>
      </c>
      <c r="O192" s="22">
        <f ca="1">IFERROR(__xludf.DUMMYFUNCTION("""COMPUTED_VALUE"""),65)</f>
        <v>65</v>
      </c>
      <c r="P192" s="22">
        <f ca="1">IFERROR(__xludf.DUMMYFUNCTION("""COMPUTED_VALUE"""),0)</f>
        <v>0</v>
      </c>
      <c r="Q192" s="23">
        <f ca="1">IFERROR(__xludf.DUMMYFUNCTION("""COMPUTED_VALUE"""),550)</f>
        <v>550</v>
      </c>
      <c r="R192" s="23">
        <f ca="1">IFERROR(__xludf.DUMMYFUNCTION("""COMPUTED_VALUE"""),20)</f>
        <v>20</v>
      </c>
      <c r="S192" s="24" t="str">
        <f ca="1">IFERROR(__xludf.DUMMYFUNCTION("""COMPUTED_VALUE"""),"Thick Layers")</f>
        <v>Thick Layers</v>
      </c>
      <c r="T192" s="24" t="str">
        <f ca="1">IFERROR(__xludf.DUMMYFUNCTION("""COMPUTED_VALUE"""),"Fur Coat")</f>
        <v>Fur Coat</v>
      </c>
      <c r="U192" s="24" t="str">
        <f ca="1">IFERROR(__xludf.DUMMYFUNCTION("""COMPUTED_VALUE"""),"Ice Scales")</f>
        <v>Ice Scales</v>
      </c>
      <c r="V192" s="25" t="str">
        <f ca="1">IFERROR(__xludf.DUMMYFUNCTION("""COMPUTED_VALUE"""),"Lv. 44")</f>
        <v>Lv. 44</v>
      </c>
      <c r="W192" s="25"/>
      <c r="X192" s="25"/>
      <c r="Y192" s="25" t="str">
        <f ca="1">IFERROR(__xludf.DUMMYFUNCTION("""COMPUTED_VALUE"""),"Sealeo (evolve)")</f>
        <v>Sealeo (evolve)</v>
      </c>
    </row>
    <row r="193" spans="1:25" x14ac:dyDescent="0.25">
      <c r="A193" s="15" t="str">
        <f ca="1">IFERROR(__xludf.DUMMYFUNCTION("""COMPUTED_VALUE"""),"Seel")</f>
        <v>Seel</v>
      </c>
      <c r="B193" s="16">
        <f ca="1">IFERROR(__xludf.DUMMYFUNCTION("""COMPUTED_VALUE"""),192)</f>
        <v>192</v>
      </c>
      <c r="C193" s="3" t="str">
        <f ca="1">IFERROR(__xludf.DUMMYFUNCTION("""COMPUTED_VALUE"""),"Water")</f>
        <v>Water</v>
      </c>
      <c r="D193" s="3" t="str">
        <f ca="1">IFERROR(__xludf.DUMMYFUNCTION("""COMPUTED_VALUE"""),"Ice")</f>
        <v>Ice</v>
      </c>
      <c r="E193" s="17">
        <f ca="1">IFERROR(__xludf.DUMMYFUNCTION("""COMPUTED_VALUE"""),70)</f>
        <v>70</v>
      </c>
      <c r="F193" s="17">
        <f ca="1">IFERROR(__xludf.DUMMYFUNCTION("""COMPUTED_VALUE"""),5)</f>
        <v>5</v>
      </c>
      <c r="G193" s="18">
        <f ca="1">IFERROR(__xludf.DUMMYFUNCTION("""COMPUTED_VALUE"""),45)</f>
        <v>45</v>
      </c>
      <c r="H193" s="18">
        <f ca="1">IFERROR(__xludf.DUMMYFUNCTION("""COMPUTED_VALUE"""),0)</f>
        <v>0</v>
      </c>
      <c r="I193" s="19">
        <f ca="1">IFERROR(__xludf.DUMMYFUNCTION("""COMPUTED_VALUE"""),55)</f>
        <v>55</v>
      </c>
      <c r="J193" s="19">
        <f ca="1">IFERROR(__xludf.DUMMYFUNCTION("""COMPUTED_VALUE"""),0)</f>
        <v>0</v>
      </c>
      <c r="K193" s="20">
        <f ca="1">IFERROR(__xludf.DUMMYFUNCTION("""COMPUTED_VALUE"""),45)</f>
        <v>45</v>
      </c>
      <c r="L193" s="20">
        <f ca="1">IFERROR(__xludf.DUMMYFUNCTION("""COMPUTED_VALUE"""),0)</f>
        <v>0</v>
      </c>
      <c r="M193" s="21">
        <f ca="1">IFERROR(__xludf.DUMMYFUNCTION("""COMPUTED_VALUE"""),65)</f>
        <v>65</v>
      </c>
      <c r="N193" s="21">
        <f ca="1">IFERROR(__xludf.DUMMYFUNCTION("""COMPUTED_VALUE"""),-5)</f>
        <v>-5</v>
      </c>
      <c r="O193" s="22">
        <f ca="1">IFERROR(__xludf.DUMMYFUNCTION("""COMPUTED_VALUE"""),45)</f>
        <v>45</v>
      </c>
      <c r="P193" s="22">
        <f ca="1">IFERROR(__xludf.DUMMYFUNCTION("""COMPUTED_VALUE"""),0)</f>
        <v>0</v>
      </c>
      <c r="Q193" s="23">
        <f ca="1">IFERROR(__xludf.DUMMYFUNCTION("""COMPUTED_VALUE"""),325)</f>
        <v>325</v>
      </c>
      <c r="R193" s="23">
        <f ca="1">IFERROR(__xludf.DUMMYFUNCTION("""COMPUTED_VALUE"""),0)</f>
        <v>0</v>
      </c>
      <c r="S193" s="24" t="str">
        <f ca="1">IFERROR(__xludf.DUMMYFUNCTION("""COMPUTED_VALUE"""),"Thick Layers")</f>
        <v>Thick Layers</v>
      </c>
      <c r="T193" s="24" t="str">
        <f ca="1">IFERROR(__xludf.DUMMYFUNCTION("""COMPUTED_VALUE"""),"Ice Scales")</f>
        <v>Ice Scales</v>
      </c>
      <c r="U193" s="24" t="str">
        <f ca="1">IFERROR(__xludf.DUMMYFUNCTION("""COMPUTED_VALUE"""),"Ice Body")</f>
        <v>Ice Body</v>
      </c>
      <c r="V193" s="25"/>
      <c r="W193" s="25"/>
      <c r="X193" s="25"/>
      <c r="Y193" s="25" t="str">
        <f ca="1">IFERROR(__xludf.DUMMYFUNCTION("""COMPUTED_VALUE"""),"Pythios Town (surf) Froslass Cavern")</f>
        <v>Pythios Town (surf) Froslass Cavern</v>
      </c>
    </row>
    <row r="194" spans="1:25" x14ac:dyDescent="0.25">
      <c r="A194" s="15" t="str">
        <f ca="1">IFERROR(__xludf.DUMMYFUNCTION("""COMPUTED_VALUE"""),"Dewgong")</f>
        <v>Dewgong</v>
      </c>
      <c r="B194" s="16">
        <f ca="1">IFERROR(__xludf.DUMMYFUNCTION("""COMPUTED_VALUE"""),193)</f>
        <v>193</v>
      </c>
      <c r="C194" s="3" t="str">
        <f ca="1">IFERROR(__xludf.DUMMYFUNCTION("""COMPUTED_VALUE"""),"Water")</f>
        <v>Water</v>
      </c>
      <c r="D194" s="3" t="str">
        <f ca="1">IFERROR(__xludf.DUMMYFUNCTION("""COMPUTED_VALUE"""),"Ice")</f>
        <v>Ice</v>
      </c>
      <c r="E194" s="17">
        <f ca="1">IFERROR(__xludf.DUMMYFUNCTION("""COMPUTED_VALUE"""),115)</f>
        <v>115</v>
      </c>
      <c r="F194" s="17">
        <f ca="1">IFERROR(__xludf.DUMMYFUNCTION("""COMPUTED_VALUE"""),25)</f>
        <v>25</v>
      </c>
      <c r="G194" s="18">
        <f ca="1">IFERROR(__xludf.DUMMYFUNCTION("""COMPUTED_VALUE"""),75)</f>
        <v>75</v>
      </c>
      <c r="H194" s="18">
        <f ca="1">IFERROR(__xludf.DUMMYFUNCTION("""COMPUTED_VALUE"""),5)</f>
        <v>5</v>
      </c>
      <c r="I194" s="19">
        <f ca="1">IFERROR(__xludf.DUMMYFUNCTION("""COMPUTED_VALUE"""),80)</f>
        <v>80</v>
      </c>
      <c r="J194" s="19">
        <f ca="1">IFERROR(__xludf.DUMMYFUNCTION("""COMPUTED_VALUE"""),0)</f>
        <v>0</v>
      </c>
      <c r="K194" s="20">
        <f ca="1">IFERROR(__xludf.DUMMYFUNCTION("""COMPUTED_VALUE"""),75)</f>
        <v>75</v>
      </c>
      <c r="L194" s="20">
        <f ca="1">IFERROR(__xludf.DUMMYFUNCTION("""COMPUTED_VALUE"""),5)</f>
        <v>5</v>
      </c>
      <c r="M194" s="21">
        <f ca="1">IFERROR(__xludf.DUMMYFUNCTION("""COMPUTED_VALUE"""),90)</f>
        <v>90</v>
      </c>
      <c r="N194" s="21">
        <f ca="1">IFERROR(__xludf.DUMMYFUNCTION("""COMPUTED_VALUE"""),-5)</f>
        <v>-5</v>
      </c>
      <c r="O194" s="22">
        <f ca="1">IFERROR(__xludf.DUMMYFUNCTION("""COMPUTED_VALUE"""),65)</f>
        <v>65</v>
      </c>
      <c r="P194" s="22">
        <f ca="1">IFERROR(__xludf.DUMMYFUNCTION("""COMPUTED_VALUE"""),-5)</f>
        <v>-5</v>
      </c>
      <c r="Q194" s="23">
        <f ca="1">IFERROR(__xludf.DUMMYFUNCTION("""COMPUTED_VALUE"""),500)</f>
        <v>500</v>
      </c>
      <c r="R194" s="23">
        <f ca="1">IFERROR(__xludf.DUMMYFUNCTION("""COMPUTED_VALUE"""),25)</f>
        <v>25</v>
      </c>
      <c r="S194" s="24" t="str">
        <f ca="1">IFERROR(__xludf.DUMMYFUNCTION("""COMPUTED_VALUE"""),"Thick Layers")</f>
        <v>Thick Layers</v>
      </c>
      <c r="T194" s="24" t="str">
        <f ca="1">IFERROR(__xludf.DUMMYFUNCTION("""COMPUTED_VALUE"""),"Ice Scales")</f>
        <v>Ice Scales</v>
      </c>
      <c r="U194" s="24" t="str">
        <f ca="1">IFERROR(__xludf.DUMMYFUNCTION("""COMPUTED_VALUE"""),"Ice Body")</f>
        <v>Ice Body</v>
      </c>
      <c r="V194" s="25" t="str">
        <f ca="1">IFERROR(__xludf.DUMMYFUNCTION("""COMPUTED_VALUE"""),"Lv. 34")</f>
        <v>Lv. 34</v>
      </c>
      <c r="W194" s="25"/>
      <c r="X194" s="25"/>
      <c r="Y194" s="25" t="str">
        <f ca="1">IFERROR(__xludf.DUMMYFUNCTION("""COMPUTED_VALUE"""),"Seel (evolve)")</f>
        <v>Seel (evolve)</v>
      </c>
    </row>
    <row r="195" spans="1:25" x14ac:dyDescent="0.25">
      <c r="A195" s="15" t="str">
        <f ca="1">IFERROR(__xludf.DUMMYFUNCTION("""COMPUTED_VALUE"""),"Bronzor")</f>
        <v>Bronzor</v>
      </c>
      <c r="B195" s="16">
        <f ca="1">IFERROR(__xludf.DUMMYFUNCTION("""COMPUTED_VALUE"""),194)</f>
        <v>194</v>
      </c>
      <c r="C195" s="3" t="str">
        <f ca="1">IFERROR(__xludf.DUMMYFUNCTION("""COMPUTED_VALUE"""),"Steel")</f>
        <v>Steel</v>
      </c>
      <c r="D195" s="3" t="str">
        <f ca="1">IFERROR(__xludf.DUMMYFUNCTION("""COMPUTED_VALUE"""),"Psychic")</f>
        <v>Psychic</v>
      </c>
      <c r="E195" s="17">
        <f ca="1">IFERROR(__xludf.DUMMYFUNCTION("""COMPUTED_VALUE"""),57)</f>
        <v>57</v>
      </c>
      <c r="F195" s="17">
        <f ca="1">IFERROR(__xludf.DUMMYFUNCTION("""COMPUTED_VALUE"""),0)</f>
        <v>0</v>
      </c>
      <c r="G195" s="18">
        <f ca="1">IFERROR(__xludf.DUMMYFUNCTION("""COMPUTED_VALUE"""),24)</f>
        <v>24</v>
      </c>
      <c r="H195" s="18">
        <f ca="1">IFERROR(__xludf.DUMMYFUNCTION("""COMPUTED_VALUE"""),0)</f>
        <v>0</v>
      </c>
      <c r="I195" s="19">
        <f ca="1">IFERROR(__xludf.DUMMYFUNCTION("""COMPUTED_VALUE"""),86)</f>
        <v>86</v>
      </c>
      <c r="J195" s="19">
        <f ca="1">IFERROR(__xludf.DUMMYFUNCTION("""COMPUTED_VALUE"""),0)</f>
        <v>0</v>
      </c>
      <c r="K195" s="20">
        <f ca="1">IFERROR(__xludf.DUMMYFUNCTION("""COMPUTED_VALUE"""),24)</f>
        <v>24</v>
      </c>
      <c r="L195" s="20">
        <f ca="1">IFERROR(__xludf.DUMMYFUNCTION("""COMPUTED_VALUE"""),0)</f>
        <v>0</v>
      </c>
      <c r="M195" s="21">
        <f ca="1">IFERROR(__xludf.DUMMYFUNCTION("""COMPUTED_VALUE"""),86)</f>
        <v>86</v>
      </c>
      <c r="N195" s="21">
        <f ca="1">IFERROR(__xludf.DUMMYFUNCTION("""COMPUTED_VALUE"""),0)</f>
        <v>0</v>
      </c>
      <c r="O195" s="22">
        <f ca="1">IFERROR(__xludf.DUMMYFUNCTION("""COMPUTED_VALUE"""),23)</f>
        <v>23</v>
      </c>
      <c r="P195" s="22">
        <f ca="1">IFERROR(__xludf.DUMMYFUNCTION("""COMPUTED_VALUE"""),0)</f>
        <v>0</v>
      </c>
      <c r="Q195" s="23">
        <f ca="1">IFERROR(__xludf.DUMMYFUNCTION("""COMPUTED_VALUE"""),300)</f>
        <v>300</v>
      </c>
      <c r="R195" s="23">
        <f ca="1">IFERROR(__xludf.DUMMYFUNCTION("""COMPUTED_VALUE"""),0)</f>
        <v>0</v>
      </c>
      <c r="S195" s="24" t="str">
        <f ca="1">IFERROR(__xludf.DUMMYFUNCTION("""COMPUTED_VALUE"""),"Levitate")</f>
        <v>Levitate</v>
      </c>
      <c r="T195" s="24" t="str">
        <f ca="1">IFERROR(__xludf.DUMMYFUNCTION("""COMPUTED_VALUE"""),"Heatproof")</f>
        <v>Heatproof</v>
      </c>
      <c r="U195" s="24" t="str">
        <f ca="1">IFERROR(__xludf.DUMMYFUNCTION("""COMPUTED_VALUE"""),"Heavy Metal")</f>
        <v>Heavy Metal</v>
      </c>
      <c r="V195" s="25"/>
      <c r="W195" s="25"/>
      <c r="X195" s="25" t="str">
        <f ca="1">IFERROR(__xludf.DUMMYFUNCTION("""COMPUTED_VALUE"""),"Metal Coat")</f>
        <v>Metal Coat</v>
      </c>
      <c r="Y195" s="25" t="str">
        <f ca="1">IFERROR(__xludf.DUMMYFUNCTION("""COMPUTED_VALUE"""),"Acrisia Mountains Peak, Froslass Cavern (wild)")</f>
        <v>Acrisia Mountains Peak, Froslass Cavern (wild)</v>
      </c>
    </row>
    <row r="196" spans="1:25" x14ac:dyDescent="0.25">
      <c r="A196" s="15" t="str">
        <f ca="1">IFERROR(__xludf.DUMMYFUNCTION("""COMPUTED_VALUE"""),"Bronzong")</f>
        <v>Bronzong</v>
      </c>
      <c r="B196" s="16">
        <f ca="1">IFERROR(__xludf.DUMMYFUNCTION("""COMPUTED_VALUE"""),195)</f>
        <v>195</v>
      </c>
      <c r="C196" s="3" t="str">
        <f ca="1">IFERROR(__xludf.DUMMYFUNCTION("""COMPUTED_VALUE"""),"Steel")</f>
        <v>Steel</v>
      </c>
      <c r="D196" s="3" t="str">
        <f ca="1">IFERROR(__xludf.DUMMYFUNCTION("""COMPUTED_VALUE"""),"Psychic")</f>
        <v>Psychic</v>
      </c>
      <c r="E196" s="17">
        <f ca="1">IFERROR(__xludf.DUMMYFUNCTION("""COMPUTED_VALUE"""),67)</f>
        <v>67</v>
      </c>
      <c r="F196" s="17">
        <f ca="1">IFERROR(__xludf.DUMMYFUNCTION("""COMPUTED_VALUE"""),0)</f>
        <v>0</v>
      </c>
      <c r="G196" s="18">
        <f ca="1">IFERROR(__xludf.DUMMYFUNCTION("""COMPUTED_VALUE"""),79)</f>
        <v>79</v>
      </c>
      <c r="H196" s="18">
        <f ca="1">IFERROR(__xludf.DUMMYFUNCTION("""COMPUTED_VALUE"""),-10)</f>
        <v>-10</v>
      </c>
      <c r="I196" s="19">
        <f ca="1">IFERROR(__xludf.DUMMYFUNCTION("""COMPUTED_VALUE"""),121)</f>
        <v>121</v>
      </c>
      <c r="J196" s="19">
        <f ca="1">IFERROR(__xludf.DUMMYFUNCTION("""COMPUTED_VALUE"""),5)</f>
        <v>5</v>
      </c>
      <c r="K196" s="20">
        <f ca="1">IFERROR(__xludf.DUMMYFUNCTION("""COMPUTED_VALUE"""),89)</f>
        <v>89</v>
      </c>
      <c r="L196" s="20">
        <f ca="1">IFERROR(__xludf.DUMMYFUNCTION("""COMPUTED_VALUE"""),10)</f>
        <v>10</v>
      </c>
      <c r="M196" s="21">
        <f ca="1">IFERROR(__xludf.DUMMYFUNCTION("""COMPUTED_VALUE"""),121)</f>
        <v>121</v>
      </c>
      <c r="N196" s="21">
        <f ca="1">IFERROR(__xludf.DUMMYFUNCTION("""COMPUTED_VALUE"""),5)</f>
        <v>5</v>
      </c>
      <c r="O196" s="22">
        <f ca="1">IFERROR(__xludf.DUMMYFUNCTION("""COMPUTED_VALUE"""),33)</f>
        <v>33</v>
      </c>
      <c r="P196" s="22">
        <f ca="1">IFERROR(__xludf.DUMMYFUNCTION("""COMPUTED_VALUE"""),0)</f>
        <v>0</v>
      </c>
      <c r="Q196" s="23">
        <f ca="1">IFERROR(__xludf.DUMMYFUNCTION("""COMPUTED_VALUE"""),510)</f>
        <v>510</v>
      </c>
      <c r="R196" s="23">
        <f ca="1">IFERROR(__xludf.DUMMYFUNCTION("""COMPUTED_VALUE"""),10)</f>
        <v>10</v>
      </c>
      <c r="S196" s="24" t="str">
        <f ca="1">IFERROR(__xludf.DUMMYFUNCTION("""COMPUTED_VALUE"""),"Levitate")</f>
        <v>Levitate</v>
      </c>
      <c r="T196" s="24" t="str">
        <f ca="1">IFERROR(__xludf.DUMMYFUNCTION("""COMPUTED_VALUE"""),"Heatproof")</f>
        <v>Heatproof</v>
      </c>
      <c r="U196" s="24" t="str">
        <f ca="1">IFERROR(__xludf.DUMMYFUNCTION("""COMPUTED_VALUE"""),"Heavy Metal")</f>
        <v>Heavy Metal</v>
      </c>
      <c r="V196" s="25" t="str">
        <f ca="1">IFERROR(__xludf.DUMMYFUNCTION("""COMPUTED_VALUE"""),"Lv. 33")</f>
        <v>Lv. 33</v>
      </c>
      <c r="W196" s="25"/>
      <c r="X196" s="25" t="str">
        <f ca="1">IFERROR(__xludf.DUMMYFUNCTION("""COMPUTED_VALUE"""),"Metal Coat")</f>
        <v>Metal Coat</v>
      </c>
      <c r="Y196" s="25" t="str">
        <f ca="1">IFERROR(__xludf.DUMMYFUNCTION("""COMPUTED_VALUE"""),"Bronzor (evolve)")</f>
        <v>Bronzor (evolve)</v>
      </c>
    </row>
    <row r="197" spans="1:25" x14ac:dyDescent="0.25">
      <c r="A197" s="15" t="str">
        <f ca="1">IFERROR(__xludf.DUMMYFUNCTION("""COMPUTED_VALUE"""),"Cufant")</f>
        <v>Cufant</v>
      </c>
      <c r="B197" s="16">
        <f ca="1">IFERROR(__xludf.DUMMYFUNCTION("""COMPUTED_VALUE"""),196)</f>
        <v>196</v>
      </c>
      <c r="C197" s="3" t="str">
        <f ca="1">IFERROR(__xludf.DUMMYFUNCTION("""COMPUTED_VALUE"""),"Steel")</f>
        <v>Steel</v>
      </c>
      <c r="D197" s="3" t="str">
        <f ca="1">IFERROR(__xludf.DUMMYFUNCTION("""COMPUTED_VALUE"""),"Normal")</f>
        <v>Normal</v>
      </c>
      <c r="E197" s="17">
        <f ca="1">IFERROR(__xludf.DUMMYFUNCTION("""COMPUTED_VALUE"""),72)</f>
        <v>72</v>
      </c>
      <c r="F197" s="17">
        <f ca="1">IFERROR(__xludf.DUMMYFUNCTION("""COMPUTED_VALUE"""),0)</f>
        <v>0</v>
      </c>
      <c r="G197" s="18">
        <f ca="1">IFERROR(__xludf.DUMMYFUNCTION("""COMPUTED_VALUE"""),80)</f>
        <v>80</v>
      </c>
      <c r="H197" s="18">
        <f ca="1">IFERROR(__xludf.DUMMYFUNCTION("""COMPUTED_VALUE"""),0)</f>
        <v>0</v>
      </c>
      <c r="I197" s="19">
        <f ca="1">IFERROR(__xludf.DUMMYFUNCTION("""COMPUTED_VALUE"""),49)</f>
        <v>49</v>
      </c>
      <c r="J197" s="19">
        <f ca="1">IFERROR(__xludf.DUMMYFUNCTION("""COMPUTED_VALUE"""),0)</f>
        <v>0</v>
      </c>
      <c r="K197" s="20">
        <f ca="1">IFERROR(__xludf.DUMMYFUNCTION("""COMPUTED_VALUE"""),40)</f>
        <v>40</v>
      </c>
      <c r="L197" s="20">
        <f ca="1">IFERROR(__xludf.DUMMYFUNCTION("""COMPUTED_VALUE"""),0)</f>
        <v>0</v>
      </c>
      <c r="M197" s="21">
        <f ca="1">IFERROR(__xludf.DUMMYFUNCTION("""COMPUTED_VALUE"""),49)</f>
        <v>49</v>
      </c>
      <c r="N197" s="21">
        <f ca="1">IFERROR(__xludf.DUMMYFUNCTION("""COMPUTED_VALUE"""),0)</f>
        <v>0</v>
      </c>
      <c r="O197" s="22">
        <f ca="1">IFERROR(__xludf.DUMMYFUNCTION("""COMPUTED_VALUE"""),40)</f>
        <v>40</v>
      </c>
      <c r="P197" s="22">
        <f ca="1">IFERROR(__xludf.DUMMYFUNCTION("""COMPUTED_VALUE"""),0)</f>
        <v>0</v>
      </c>
      <c r="Q197" s="23">
        <f ca="1">IFERROR(__xludf.DUMMYFUNCTION("""COMPUTED_VALUE"""),330)</f>
        <v>330</v>
      </c>
      <c r="R197" s="23">
        <f ca="1">IFERROR(__xludf.DUMMYFUNCTION("""COMPUTED_VALUE"""),0)</f>
        <v>0</v>
      </c>
      <c r="S197" s="24" t="str">
        <f ca="1">IFERROR(__xludf.DUMMYFUNCTION("""COMPUTED_VALUE"""),"Sheer Force")</f>
        <v>Sheer Force</v>
      </c>
      <c r="T197" s="24" t="str">
        <f ca="1">IFERROR(__xludf.DUMMYFUNCTION("""COMPUTED_VALUE"""),"Long Reach")</f>
        <v>Long Reach</v>
      </c>
      <c r="U197" s="24" t="str">
        <f ca="1">IFERROR(__xludf.DUMMYFUNCTION("""COMPUTED_VALUE"""),"Heavy Metal")</f>
        <v>Heavy Metal</v>
      </c>
      <c r="V197" s="25"/>
      <c r="W197" s="25"/>
      <c r="X197" s="25" t="str">
        <f ca="1">IFERROR(__xludf.DUMMYFUNCTION("""COMPUTED_VALUE"""),"Lagging Tail")</f>
        <v>Lagging Tail</v>
      </c>
      <c r="Y197" s="25" t="str">
        <f ca="1">IFERROR(__xludf.DUMMYFUNCTION("""COMPUTED_VALUE"""),"Riverwalk Trail S, Sea of Asteri (wild)")</f>
        <v>Riverwalk Trail S, Sea of Asteri (wild)</v>
      </c>
    </row>
    <row r="198" spans="1:25" x14ac:dyDescent="0.25">
      <c r="A198" s="15" t="str">
        <f ca="1">IFERROR(__xludf.DUMMYFUNCTION("""COMPUTED_VALUE"""),"Copperajah")</f>
        <v>Copperajah</v>
      </c>
      <c r="B198" s="16">
        <f ca="1">IFERROR(__xludf.DUMMYFUNCTION("""COMPUTED_VALUE"""),197)</f>
        <v>197</v>
      </c>
      <c r="C198" s="3" t="str">
        <f ca="1">IFERROR(__xludf.DUMMYFUNCTION("""COMPUTED_VALUE"""),"Steel")</f>
        <v>Steel</v>
      </c>
      <c r="D198" s="3" t="str">
        <f ca="1">IFERROR(__xludf.DUMMYFUNCTION("""COMPUTED_VALUE"""),"Normal")</f>
        <v>Normal</v>
      </c>
      <c r="E198" s="17">
        <f ca="1">IFERROR(__xludf.DUMMYFUNCTION("""COMPUTED_VALUE"""),122)</f>
        <v>122</v>
      </c>
      <c r="F198" s="17">
        <f ca="1">IFERROR(__xludf.DUMMYFUNCTION("""COMPUTED_VALUE"""),0)</f>
        <v>0</v>
      </c>
      <c r="G198" s="18">
        <f ca="1">IFERROR(__xludf.DUMMYFUNCTION("""COMPUTED_VALUE"""),130)</f>
        <v>130</v>
      </c>
      <c r="H198" s="18">
        <f ca="1">IFERROR(__xludf.DUMMYFUNCTION("""COMPUTED_VALUE"""),0)</f>
        <v>0</v>
      </c>
      <c r="I198" s="19">
        <f ca="1">IFERROR(__xludf.DUMMYFUNCTION("""COMPUTED_VALUE"""),74)</f>
        <v>74</v>
      </c>
      <c r="J198" s="19">
        <f ca="1">IFERROR(__xludf.DUMMYFUNCTION("""COMPUTED_VALUE"""),5)</f>
        <v>5</v>
      </c>
      <c r="K198" s="20">
        <f ca="1">IFERROR(__xludf.DUMMYFUNCTION("""COMPUTED_VALUE"""),75)</f>
        <v>75</v>
      </c>
      <c r="L198" s="20">
        <f ca="1">IFERROR(__xludf.DUMMYFUNCTION("""COMPUTED_VALUE"""),-5)</f>
        <v>-5</v>
      </c>
      <c r="M198" s="21">
        <f ca="1">IFERROR(__xludf.DUMMYFUNCTION("""COMPUTED_VALUE"""),69)</f>
        <v>69</v>
      </c>
      <c r="N198" s="21">
        <f ca="1">IFERROR(__xludf.DUMMYFUNCTION("""COMPUTED_VALUE"""),0)</f>
        <v>0</v>
      </c>
      <c r="O198" s="22">
        <f ca="1">IFERROR(__xludf.DUMMYFUNCTION("""COMPUTED_VALUE"""),30)</f>
        <v>30</v>
      </c>
      <c r="P198" s="22">
        <f ca="1">IFERROR(__xludf.DUMMYFUNCTION("""COMPUTED_VALUE"""),0)</f>
        <v>0</v>
      </c>
      <c r="Q198" s="23">
        <f ca="1">IFERROR(__xludf.DUMMYFUNCTION("""COMPUTED_VALUE"""),500)</f>
        <v>500</v>
      </c>
      <c r="R198" s="23">
        <f ca="1">IFERROR(__xludf.DUMMYFUNCTION("""COMPUTED_VALUE"""),0)</f>
        <v>0</v>
      </c>
      <c r="S198" s="24" t="str">
        <f ca="1">IFERROR(__xludf.DUMMYFUNCTION("""COMPUTED_VALUE"""),"Sheer Force")</f>
        <v>Sheer Force</v>
      </c>
      <c r="T198" s="24" t="str">
        <f ca="1">IFERROR(__xludf.DUMMYFUNCTION("""COMPUTED_VALUE"""),"Long Reach")</f>
        <v>Long Reach</v>
      </c>
      <c r="U198" s="24" t="str">
        <f ca="1">IFERROR(__xludf.DUMMYFUNCTION("""COMPUTED_VALUE"""),"Heavy Metal")</f>
        <v>Heavy Metal</v>
      </c>
      <c r="V198" s="25" t="str">
        <f ca="1">IFERROR(__xludf.DUMMYFUNCTION("""COMPUTED_VALUE"""),"Lv. 34")</f>
        <v>Lv. 34</v>
      </c>
      <c r="W198" s="25"/>
      <c r="X198" s="25" t="str">
        <f ca="1">IFERROR(__xludf.DUMMYFUNCTION("""COMPUTED_VALUE"""),"Lagging Tail")</f>
        <v>Lagging Tail</v>
      </c>
      <c r="Y198" s="25" t="str">
        <f ca="1">IFERROR(__xludf.DUMMYFUNCTION("""COMPUTED_VALUE"""),"Cufant (evolve)")</f>
        <v>Cufant (evolve)</v>
      </c>
    </row>
    <row r="199" spans="1:25" x14ac:dyDescent="0.25">
      <c r="A199" s="15" t="str">
        <f ca="1">IFERROR(__xludf.DUMMYFUNCTION("""COMPUTED_VALUE"""),"Zorua")</f>
        <v>Zorua</v>
      </c>
      <c r="B199" s="16">
        <f ca="1">IFERROR(__xludf.DUMMYFUNCTION("""COMPUTED_VALUE"""),198)</f>
        <v>198</v>
      </c>
      <c r="C199" s="3" t="str">
        <f ca="1">IFERROR(__xludf.DUMMYFUNCTION("""COMPUTED_VALUE"""),"Dark")</f>
        <v>Dark</v>
      </c>
      <c r="D199" s="3"/>
      <c r="E199" s="17">
        <f ca="1">IFERROR(__xludf.DUMMYFUNCTION("""COMPUTED_VALUE"""),40)</f>
        <v>40</v>
      </c>
      <c r="F199" s="17">
        <f ca="1">IFERROR(__xludf.DUMMYFUNCTION("""COMPUTED_VALUE"""),0)</f>
        <v>0</v>
      </c>
      <c r="G199" s="18">
        <f ca="1">IFERROR(__xludf.DUMMYFUNCTION("""COMPUTED_VALUE"""),65)</f>
        <v>65</v>
      </c>
      <c r="H199" s="18">
        <f ca="1">IFERROR(__xludf.DUMMYFUNCTION("""COMPUTED_VALUE"""),0)</f>
        <v>0</v>
      </c>
      <c r="I199" s="19">
        <f ca="1">IFERROR(__xludf.DUMMYFUNCTION("""COMPUTED_VALUE"""),40)</f>
        <v>40</v>
      </c>
      <c r="J199" s="19">
        <f ca="1">IFERROR(__xludf.DUMMYFUNCTION("""COMPUTED_VALUE"""),0)</f>
        <v>0</v>
      </c>
      <c r="K199" s="20">
        <f ca="1">IFERROR(__xludf.DUMMYFUNCTION("""COMPUTED_VALUE"""),80)</f>
        <v>80</v>
      </c>
      <c r="L199" s="20">
        <f ca="1">IFERROR(__xludf.DUMMYFUNCTION("""COMPUTED_VALUE"""),0)</f>
        <v>0</v>
      </c>
      <c r="M199" s="21">
        <f ca="1">IFERROR(__xludf.DUMMYFUNCTION("""COMPUTED_VALUE"""),40)</f>
        <v>40</v>
      </c>
      <c r="N199" s="21">
        <f ca="1">IFERROR(__xludf.DUMMYFUNCTION("""COMPUTED_VALUE"""),0)</f>
        <v>0</v>
      </c>
      <c r="O199" s="22">
        <f ca="1">IFERROR(__xludf.DUMMYFUNCTION("""COMPUTED_VALUE"""),65)</f>
        <v>65</v>
      </c>
      <c r="P199" s="22">
        <f ca="1">IFERROR(__xludf.DUMMYFUNCTION("""COMPUTED_VALUE"""),0)</f>
        <v>0</v>
      </c>
      <c r="Q199" s="23">
        <f ca="1">IFERROR(__xludf.DUMMYFUNCTION("""COMPUTED_VALUE"""),330)</f>
        <v>330</v>
      </c>
      <c r="R199" s="23">
        <f ca="1">IFERROR(__xludf.DUMMYFUNCTION("""COMPUTED_VALUE"""),0)</f>
        <v>0</v>
      </c>
      <c r="S199" s="24" t="str">
        <f ca="1">IFERROR(__xludf.DUMMYFUNCTION("""COMPUTED_VALUE"""),"Illusion")</f>
        <v>Illusion</v>
      </c>
      <c r="T199" s="25"/>
      <c r="U199" s="24" t="str">
        <f ca="1">IFERROR(__xludf.DUMMYFUNCTION("""COMPUTED_VALUE"""),"Fluffy")</f>
        <v>Fluffy</v>
      </c>
      <c r="V199" s="25"/>
      <c r="W199" s="25"/>
      <c r="X199" s="25"/>
      <c r="Y199" s="25" t="str">
        <f ca="1">IFERROR(__xludf.DUMMYFUNCTION("""COMPUTED_VALUE"""),"Erinys Path W (wild)")</f>
        <v>Erinys Path W (wild)</v>
      </c>
    </row>
    <row r="200" spans="1:25" x14ac:dyDescent="0.25">
      <c r="A200" s="15" t="str">
        <f ca="1">IFERROR(__xludf.DUMMYFUNCTION("""COMPUTED_VALUE"""),"Zoroark")</f>
        <v>Zoroark</v>
      </c>
      <c r="B200" s="16">
        <f ca="1">IFERROR(__xludf.DUMMYFUNCTION("""COMPUTED_VALUE"""),199)</f>
        <v>199</v>
      </c>
      <c r="C200" s="3" t="str">
        <f ca="1">IFERROR(__xludf.DUMMYFUNCTION("""COMPUTED_VALUE"""),"Dark")</f>
        <v>Dark</v>
      </c>
      <c r="D200" s="3"/>
      <c r="E200" s="17">
        <f ca="1">IFERROR(__xludf.DUMMYFUNCTION("""COMPUTED_VALUE"""),60)</f>
        <v>60</v>
      </c>
      <c r="F200" s="17">
        <f ca="1">IFERROR(__xludf.DUMMYFUNCTION("""COMPUTED_VALUE"""),0)</f>
        <v>0</v>
      </c>
      <c r="G200" s="18">
        <f ca="1">IFERROR(__xludf.DUMMYFUNCTION("""COMPUTED_VALUE"""),105)</f>
        <v>105</v>
      </c>
      <c r="H200" s="18">
        <f ca="1">IFERROR(__xludf.DUMMYFUNCTION("""COMPUTED_VALUE"""),0)</f>
        <v>0</v>
      </c>
      <c r="I200" s="19">
        <f ca="1">IFERROR(__xludf.DUMMYFUNCTION("""COMPUTED_VALUE"""),60)</f>
        <v>60</v>
      </c>
      <c r="J200" s="19">
        <f ca="1">IFERROR(__xludf.DUMMYFUNCTION("""COMPUTED_VALUE"""),0)</f>
        <v>0</v>
      </c>
      <c r="K200" s="20">
        <f ca="1">IFERROR(__xludf.DUMMYFUNCTION("""COMPUTED_VALUE"""),120)</f>
        <v>120</v>
      </c>
      <c r="L200" s="20">
        <f ca="1">IFERROR(__xludf.DUMMYFUNCTION("""COMPUTED_VALUE"""),0)</f>
        <v>0</v>
      </c>
      <c r="M200" s="21">
        <f ca="1">IFERROR(__xludf.DUMMYFUNCTION("""COMPUTED_VALUE"""),60)</f>
        <v>60</v>
      </c>
      <c r="N200" s="21">
        <f ca="1">IFERROR(__xludf.DUMMYFUNCTION("""COMPUTED_VALUE"""),0)</f>
        <v>0</v>
      </c>
      <c r="O200" s="22">
        <f ca="1">IFERROR(__xludf.DUMMYFUNCTION("""COMPUTED_VALUE"""),115)</f>
        <v>115</v>
      </c>
      <c r="P200" s="22">
        <f ca="1">IFERROR(__xludf.DUMMYFUNCTION("""COMPUTED_VALUE"""),10)</f>
        <v>10</v>
      </c>
      <c r="Q200" s="23">
        <f ca="1">IFERROR(__xludf.DUMMYFUNCTION("""COMPUTED_VALUE"""),520)</f>
        <v>520</v>
      </c>
      <c r="R200" s="23">
        <f ca="1">IFERROR(__xludf.DUMMYFUNCTION("""COMPUTED_VALUE"""),10)</f>
        <v>10</v>
      </c>
      <c r="S200" s="24" t="str">
        <f ca="1">IFERROR(__xludf.DUMMYFUNCTION("""COMPUTED_VALUE"""),"Illusion")</f>
        <v>Illusion</v>
      </c>
      <c r="T200" s="25"/>
      <c r="U200" s="24" t="str">
        <f ca="1">IFERROR(__xludf.DUMMYFUNCTION("""COMPUTED_VALUE"""),"Fluffy")</f>
        <v>Fluffy</v>
      </c>
      <c r="V200" s="25" t="str">
        <f ca="1">IFERROR(__xludf.DUMMYFUNCTION("""COMPUTED_VALUE"""),"Lv. 30")</f>
        <v>Lv. 30</v>
      </c>
      <c r="W200" s="25"/>
      <c r="X200" s="25"/>
      <c r="Y200" s="25" t="str">
        <f ca="1">IFERROR(__xludf.DUMMYFUNCTION("""COMPUTED_VALUE"""),"Zorua (evolve)")</f>
        <v>Zorua (evolve)</v>
      </c>
    </row>
    <row r="201" spans="1:25" x14ac:dyDescent="0.25">
      <c r="A201" s="15" t="str">
        <f ca="1">IFERROR(__xludf.DUMMYFUNCTION("""COMPUTED_VALUE"""),"Sneasel")</f>
        <v>Sneasel</v>
      </c>
      <c r="B201" s="16">
        <f ca="1">IFERROR(__xludf.DUMMYFUNCTION("""COMPUTED_VALUE"""),200)</f>
        <v>200</v>
      </c>
      <c r="C201" s="3" t="str">
        <f ca="1">IFERROR(__xludf.DUMMYFUNCTION("""COMPUTED_VALUE"""),"Dark")</f>
        <v>Dark</v>
      </c>
      <c r="D201" s="3" t="str">
        <f ca="1">IFERROR(__xludf.DUMMYFUNCTION("""COMPUTED_VALUE"""),"Ice")</f>
        <v>Ice</v>
      </c>
      <c r="E201" s="17">
        <f ca="1">IFERROR(__xludf.DUMMYFUNCTION("""COMPUTED_VALUE"""),55)</f>
        <v>55</v>
      </c>
      <c r="F201" s="17">
        <f ca="1">IFERROR(__xludf.DUMMYFUNCTION("""COMPUTED_VALUE"""),0)</f>
        <v>0</v>
      </c>
      <c r="G201" s="18">
        <f ca="1">IFERROR(__xludf.DUMMYFUNCTION("""COMPUTED_VALUE"""),95)</f>
        <v>95</v>
      </c>
      <c r="H201" s="18">
        <f ca="1">IFERROR(__xludf.DUMMYFUNCTION("""COMPUTED_VALUE"""),0)</f>
        <v>0</v>
      </c>
      <c r="I201" s="19">
        <f ca="1">IFERROR(__xludf.DUMMYFUNCTION("""COMPUTED_VALUE"""),55)</f>
        <v>55</v>
      </c>
      <c r="J201" s="19">
        <f ca="1">IFERROR(__xludf.DUMMYFUNCTION("""COMPUTED_VALUE"""),0)</f>
        <v>0</v>
      </c>
      <c r="K201" s="20">
        <f ca="1">IFERROR(__xludf.DUMMYFUNCTION("""COMPUTED_VALUE"""),35)</f>
        <v>35</v>
      </c>
      <c r="L201" s="20">
        <f ca="1">IFERROR(__xludf.DUMMYFUNCTION("""COMPUTED_VALUE"""),0)</f>
        <v>0</v>
      </c>
      <c r="M201" s="21">
        <f ca="1">IFERROR(__xludf.DUMMYFUNCTION("""COMPUTED_VALUE"""),75)</f>
        <v>75</v>
      </c>
      <c r="N201" s="21">
        <f ca="1">IFERROR(__xludf.DUMMYFUNCTION("""COMPUTED_VALUE"""),0)</f>
        <v>0</v>
      </c>
      <c r="O201" s="22">
        <f ca="1">IFERROR(__xludf.DUMMYFUNCTION("""COMPUTED_VALUE"""),115)</f>
        <v>115</v>
      </c>
      <c r="P201" s="22">
        <f ca="1">IFERROR(__xludf.DUMMYFUNCTION("""COMPUTED_VALUE"""),0)</f>
        <v>0</v>
      </c>
      <c r="Q201" s="23">
        <f ca="1">IFERROR(__xludf.DUMMYFUNCTION("""COMPUTED_VALUE"""),430)</f>
        <v>430</v>
      </c>
      <c r="R201" s="23">
        <f ca="1">IFERROR(__xludf.DUMMYFUNCTION("""COMPUTED_VALUE"""),0)</f>
        <v>0</v>
      </c>
      <c r="S201" s="24" t="str">
        <f ca="1">IFERROR(__xludf.DUMMYFUNCTION("""COMPUTED_VALUE"""),"Inner Focus")</f>
        <v>Inner Focus</v>
      </c>
      <c r="T201" s="24" t="str">
        <f ca="1">IFERROR(__xludf.DUMMYFUNCTION("""COMPUTED_VALUE"""),"Keen Eye")</f>
        <v>Keen Eye</v>
      </c>
      <c r="U201" s="24" t="str">
        <f ca="1">IFERROR(__xludf.DUMMYFUNCTION("""COMPUTED_VALUE"""),"Pickpocket")</f>
        <v>Pickpocket</v>
      </c>
      <c r="V201" s="25"/>
      <c r="W201" s="25"/>
      <c r="X201" s="25" t="str">
        <f ca="1">IFERROR(__xludf.DUMMYFUNCTION("""COMPUTED_VALUE"""),"Quick Claw")</f>
        <v>Quick Claw</v>
      </c>
      <c r="Y201" s="25" t="str">
        <f ca="1">IFERROR(__xludf.DUMMYFUNCTION("""COMPUTED_VALUE"""),"Froslass Cavern (wild)")</f>
        <v>Froslass Cavern (wild)</v>
      </c>
    </row>
    <row r="202" spans="1:25" x14ac:dyDescent="0.25">
      <c r="A202" s="15" t="str">
        <f ca="1">IFERROR(__xludf.DUMMYFUNCTION("""COMPUTED_VALUE"""),"Weavile")</f>
        <v>Weavile</v>
      </c>
      <c r="B202" s="16">
        <f ca="1">IFERROR(__xludf.DUMMYFUNCTION("""COMPUTED_VALUE"""),201)</f>
        <v>201</v>
      </c>
      <c r="C202" s="3" t="str">
        <f ca="1">IFERROR(__xludf.DUMMYFUNCTION("""COMPUTED_VALUE"""),"Dark")</f>
        <v>Dark</v>
      </c>
      <c r="D202" s="3" t="str">
        <f ca="1">IFERROR(__xludf.DUMMYFUNCTION("""COMPUTED_VALUE"""),"Ice")</f>
        <v>Ice</v>
      </c>
      <c r="E202" s="17">
        <f ca="1">IFERROR(__xludf.DUMMYFUNCTION("""COMPUTED_VALUE"""),70)</f>
        <v>70</v>
      </c>
      <c r="F202" s="17">
        <f ca="1">IFERROR(__xludf.DUMMYFUNCTION("""COMPUTED_VALUE"""),0)</f>
        <v>0</v>
      </c>
      <c r="G202" s="18">
        <f ca="1">IFERROR(__xludf.DUMMYFUNCTION("""COMPUTED_VALUE"""),120)</f>
        <v>120</v>
      </c>
      <c r="H202" s="18">
        <f ca="1">IFERROR(__xludf.DUMMYFUNCTION("""COMPUTED_VALUE"""),0)</f>
        <v>0</v>
      </c>
      <c r="I202" s="19">
        <f ca="1">IFERROR(__xludf.DUMMYFUNCTION("""COMPUTED_VALUE"""),65)</f>
        <v>65</v>
      </c>
      <c r="J202" s="19">
        <f ca="1">IFERROR(__xludf.DUMMYFUNCTION("""COMPUTED_VALUE"""),0)</f>
        <v>0</v>
      </c>
      <c r="K202" s="20">
        <f ca="1">IFERROR(__xludf.DUMMYFUNCTION("""COMPUTED_VALUE"""),45)</f>
        <v>45</v>
      </c>
      <c r="L202" s="20">
        <f ca="1">IFERROR(__xludf.DUMMYFUNCTION("""COMPUTED_VALUE"""),0)</f>
        <v>0</v>
      </c>
      <c r="M202" s="21">
        <f ca="1">IFERROR(__xludf.DUMMYFUNCTION("""COMPUTED_VALUE"""),85)</f>
        <v>85</v>
      </c>
      <c r="N202" s="21">
        <f ca="1">IFERROR(__xludf.DUMMYFUNCTION("""COMPUTED_VALUE"""),0)</f>
        <v>0</v>
      </c>
      <c r="O202" s="22">
        <f ca="1">IFERROR(__xludf.DUMMYFUNCTION("""COMPUTED_VALUE"""),125)</f>
        <v>125</v>
      </c>
      <c r="P202" s="22">
        <f ca="1">IFERROR(__xludf.DUMMYFUNCTION("""COMPUTED_VALUE"""),0)</f>
        <v>0</v>
      </c>
      <c r="Q202" s="23">
        <f ca="1">IFERROR(__xludf.DUMMYFUNCTION("""COMPUTED_VALUE"""),510)</f>
        <v>510</v>
      </c>
      <c r="R202" s="23">
        <f ca="1">IFERROR(__xludf.DUMMYFUNCTION("""COMPUTED_VALUE"""),0)</f>
        <v>0</v>
      </c>
      <c r="S202" s="24" t="str">
        <f ca="1">IFERROR(__xludf.DUMMYFUNCTION("""COMPUTED_VALUE"""),"Pressure")</f>
        <v>Pressure</v>
      </c>
      <c r="T202" s="25"/>
      <c r="U202" s="24" t="str">
        <f ca="1">IFERROR(__xludf.DUMMYFUNCTION("""COMPUTED_VALUE"""),"Pickpocket")</f>
        <v>Pickpocket</v>
      </c>
      <c r="V202" s="25" t="str">
        <f ca="1">IFERROR(__xludf.DUMMYFUNCTION("""COMPUTED_VALUE"""),"Razor Claw")</f>
        <v>Razor Claw</v>
      </c>
      <c r="W202" s="25"/>
      <c r="X202" s="25" t="str">
        <f ca="1">IFERROR(__xludf.DUMMYFUNCTION("""COMPUTED_VALUE"""),"Quick Claw")</f>
        <v>Quick Claw</v>
      </c>
      <c r="Y202" s="25" t="str">
        <f ca="1">IFERROR(__xludf.DUMMYFUNCTION("""COMPUTED_VALUE"""),"Sneasel (evolve)")</f>
        <v>Sneasel (evolve)</v>
      </c>
    </row>
    <row r="203" spans="1:25" x14ac:dyDescent="0.25">
      <c r="A203" s="15" t="str">
        <f ca="1">IFERROR(__xludf.DUMMYFUNCTION("""COMPUTED_VALUE"""),"Sneasler")</f>
        <v>Sneasler</v>
      </c>
      <c r="B203" s="16">
        <f ca="1">IFERROR(__xludf.DUMMYFUNCTION("""COMPUTED_VALUE"""),202)</f>
        <v>202</v>
      </c>
      <c r="C203" s="3" t="str">
        <f ca="1">IFERROR(__xludf.DUMMYFUNCTION("""COMPUTED_VALUE"""),"Fighting")</f>
        <v>Fighting</v>
      </c>
      <c r="D203" s="3" t="str">
        <f ca="1">IFERROR(__xludf.DUMMYFUNCTION("""COMPUTED_VALUE"""),"Poison")</f>
        <v>Poison</v>
      </c>
      <c r="E203" s="17">
        <f ca="1">IFERROR(__xludf.DUMMYFUNCTION("""COMPUTED_VALUE"""),80)</f>
        <v>80</v>
      </c>
      <c r="F203" s="17">
        <f ca="1">IFERROR(__xludf.DUMMYFUNCTION("""COMPUTED_VALUE"""),0)</f>
        <v>0</v>
      </c>
      <c r="G203" s="18">
        <f ca="1">IFERROR(__xludf.DUMMYFUNCTION("""COMPUTED_VALUE"""),130)</f>
        <v>130</v>
      </c>
      <c r="H203" s="18">
        <f ca="1">IFERROR(__xludf.DUMMYFUNCTION("""COMPUTED_VALUE"""),0)</f>
        <v>0</v>
      </c>
      <c r="I203" s="19">
        <f ca="1">IFERROR(__xludf.DUMMYFUNCTION("""COMPUTED_VALUE"""),60)</f>
        <v>60</v>
      </c>
      <c r="J203" s="19">
        <f ca="1">IFERROR(__xludf.DUMMYFUNCTION("""COMPUTED_VALUE"""),0)</f>
        <v>0</v>
      </c>
      <c r="K203" s="20">
        <f ca="1">IFERROR(__xludf.DUMMYFUNCTION("""COMPUTED_VALUE"""),40)</f>
        <v>40</v>
      </c>
      <c r="L203" s="20">
        <f ca="1">IFERROR(__xludf.DUMMYFUNCTION("""COMPUTED_VALUE"""),0)</f>
        <v>0</v>
      </c>
      <c r="M203" s="21">
        <f ca="1">IFERROR(__xludf.DUMMYFUNCTION("""COMPUTED_VALUE"""),80)</f>
        <v>80</v>
      </c>
      <c r="N203" s="21">
        <f ca="1">IFERROR(__xludf.DUMMYFUNCTION("""COMPUTED_VALUE"""),0)</f>
        <v>0</v>
      </c>
      <c r="O203" s="22">
        <f ca="1">IFERROR(__xludf.DUMMYFUNCTION("""COMPUTED_VALUE"""),120)</f>
        <v>120</v>
      </c>
      <c r="P203" s="22">
        <f ca="1">IFERROR(__xludf.DUMMYFUNCTION("""COMPUTED_VALUE"""),0)</f>
        <v>0</v>
      </c>
      <c r="Q203" s="23">
        <f ca="1">IFERROR(__xludf.DUMMYFUNCTION("""COMPUTED_VALUE"""),510)</f>
        <v>510</v>
      </c>
      <c r="R203" s="23">
        <f ca="1">IFERROR(__xludf.DUMMYFUNCTION("""COMPUTED_VALUE"""),0)</f>
        <v>0</v>
      </c>
      <c r="S203" s="24" t="str">
        <f ca="1">IFERROR(__xludf.DUMMYFUNCTION("""COMPUTED_VALUE"""),"Pressure")</f>
        <v>Pressure</v>
      </c>
      <c r="T203" s="24" t="str">
        <f ca="1">IFERROR(__xludf.DUMMYFUNCTION("""COMPUTED_VALUE"""),"Unburden")</f>
        <v>Unburden</v>
      </c>
      <c r="U203" s="24" t="str">
        <f ca="1">IFERROR(__xludf.DUMMYFUNCTION("""COMPUTED_VALUE"""),"Poison Touch")</f>
        <v>Poison Touch</v>
      </c>
      <c r="V203" s="25" t="str">
        <f ca="1">IFERROR(__xludf.DUMMYFUNCTION("""COMPUTED_VALUE"""),"Razor Claw")</f>
        <v>Razor Claw</v>
      </c>
      <c r="W203" s="25"/>
      <c r="X203" s="25"/>
      <c r="Y203" s="25" t="str">
        <f ca="1">IFERROR(__xludf.DUMMYFUNCTION("""COMPUTED_VALUE"""),"Hisuian Sneasel (evolve)")</f>
        <v>Hisuian Sneasel (evolve)</v>
      </c>
    </row>
    <row r="204" spans="1:25" x14ac:dyDescent="0.25">
      <c r="A204" s="15" t="str">
        <f ca="1">IFERROR(__xludf.DUMMYFUNCTION("""COMPUTED_VALUE"""),"Tyrunt")</f>
        <v>Tyrunt</v>
      </c>
      <c r="B204" s="16">
        <f ca="1">IFERROR(__xludf.DUMMYFUNCTION("""COMPUTED_VALUE"""),203)</f>
        <v>203</v>
      </c>
      <c r="C204" s="3" t="str">
        <f ca="1">IFERROR(__xludf.DUMMYFUNCTION("""COMPUTED_VALUE"""),"Rock")</f>
        <v>Rock</v>
      </c>
      <c r="D204" s="3" t="str">
        <f ca="1">IFERROR(__xludf.DUMMYFUNCTION("""COMPUTED_VALUE"""),"Dragon")</f>
        <v>Dragon</v>
      </c>
      <c r="E204" s="17">
        <f ca="1">IFERROR(__xludf.DUMMYFUNCTION("""COMPUTED_VALUE"""),58)</f>
        <v>58</v>
      </c>
      <c r="F204" s="17">
        <f ca="1">IFERROR(__xludf.DUMMYFUNCTION("""COMPUTED_VALUE"""),0)</f>
        <v>0</v>
      </c>
      <c r="G204" s="18">
        <f ca="1">IFERROR(__xludf.DUMMYFUNCTION("""COMPUTED_VALUE"""),89)</f>
        <v>89</v>
      </c>
      <c r="H204" s="18">
        <f ca="1">IFERROR(__xludf.DUMMYFUNCTION("""COMPUTED_VALUE"""),0)</f>
        <v>0</v>
      </c>
      <c r="I204" s="19">
        <f ca="1">IFERROR(__xludf.DUMMYFUNCTION("""COMPUTED_VALUE"""),77)</f>
        <v>77</v>
      </c>
      <c r="J204" s="19">
        <f ca="1">IFERROR(__xludf.DUMMYFUNCTION("""COMPUTED_VALUE"""),0)</f>
        <v>0</v>
      </c>
      <c r="K204" s="20">
        <f ca="1">IFERROR(__xludf.DUMMYFUNCTION("""COMPUTED_VALUE"""),45)</f>
        <v>45</v>
      </c>
      <c r="L204" s="20">
        <f ca="1">IFERROR(__xludf.DUMMYFUNCTION("""COMPUTED_VALUE"""),0)</f>
        <v>0</v>
      </c>
      <c r="M204" s="21">
        <f ca="1">IFERROR(__xludf.DUMMYFUNCTION("""COMPUTED_VALUE"""),45)</f>
        <v>45</v>
      </c>
      <c r="N204" s="21">
        <f ca="1">IFERROR(__xludf.DUMMYFUNCTION("""COMPUTED_VALUE"""),0)</f>
        <v>0</v>
      </c>
      <c r="O204" s="22">
        <f ca="1">IFERROR(__xludf.DUMMYFUNCTION("""COMPUTED_VALUE"""),48)</f>
        <v>48</v>
      </c>
      <c r="P204" s="22">
        <f ca="1">IFERROR(__xludf.DUMMYFUNCTION("""COMPUTED_VALUE"""),0)</f>
        <v>0</v>
      </c>
      <c r="Q204" s="23">
        <f ca="1">IFERROR(__xludf.DUMMYFUNCTION("""COMPUTED_VALUE"""),362)</f>
        <v>362</v>
      </c>
      <c r="R204" s="23">
        <f ca="1">IFERROR(__xludf.DUMMYFUNCTION("""COMPUTED_VALUE"""),0)</f>
        <v>0</v>
      </c>
      <c r="S204" s="24" t="str">
        <f ca="1">IFERROR(__xludf.DUMMYFUNCTION("""COMPUTED_VALUE"""),"Strong Jaw")</f>
        <v>Strong Jaw</v>
      </c>
      <c r="T204" s="25"/>
      <c r="U204" s="24" t="str">
        <f ca="1">IFERROR(__xludf.DUMMYFUNCTION("""COMPUTED_VALUE"""),"Sturdy")</f>
        <v>Sturdy</v>
      </c>
      <c r="V204" s="25"/>
      <c r="W204" s="25"/>
      <c r="X204" s="25"/>
      <c r="Y204" s="25" t="str">
        <f ca="1">IFERROR(__xludf.DUMMYFUNCTION("""COMPUTED_VALUE"""),"Areios Hideout (wild)")</f>
        <v>Areios Hideout (wild)</v>
      </c>
    </row>
    <row r="205" spans="1:25" x14ac:dyDescent="0.25">
      <c r="A205" s="15" t="str">
        <f ca="1">IFERROR(__xludf.DUMMYFUNCTION("""COMPUTED_VALUE"""),"Tyrantrum")</f>
        <v>Tyrantrum</v>
      </c>
      <c r="B205" s="16">
        <f ca="1">IFERROR(__xludf.DUMMYFUNCTION("""COMPUTED_VALUE"""),204)</f>
        <v>204</v>
      </c>
      <c r="C205" s="3" t="str">
        <f ca="1">IFERROR(__xludf.DUMMYFUNCTION("""COMPUTED_VALUE"""),"Rock")</f>
        <v>Rock</v>
      </c>
      <c r="D205" s="3" t="str">
        <f ca="1">IFERROR(__xludf.DUMMYFUNCTION("""COMPUTED_VALUE"""),"Dragon")</f>
        <v>Dragon</v>
      </c>
      <c r="E205" s="17">
        <f ca="1">IFERROR(__xludf.DUMMYFUNCTION("""COMPUTED_VALUE"""),92)</f>
        <v>92</v>
      </c>
      <c r="F205" s="17">
        <f ca="1">IFERROR(__xludf.DUMMYFUNCTION("""COMPUTED_VALUE"""),10)</f>
        <v>10</v>
      </c>
      <c r="G205" s="18">
        <f ca="1">IFERROR(__xludf.DUMMYFUNCTION("""COMPUTED_VALUE"""),121)</f>
        <v>121</v>
      </c>
      <c r="H205" s="18">
        <f ca="1">IFERROR(__xludf.DUMMYFUNCTION("""COMPUTED_VALUE"""),0)</f>
        <v>0</v>
      </c>
      <c r="I205" s="19">
        <f ca="1">IFERROR(__xludf.DUMMYFUNCTION("""COMPUTED_VALUE"""),119)</f>
        <v>119</v>
      </c>
      <c r="J205" s="19">
        <f ca="1">IFERROR(__xludf.DUMMYFUNCTION("""COMPUTED_VALUE"""),0)</f>
        <v>0</v>
      </c>
      <c r="K205" s="20">
        <f ca="1">IFERROR(__xludf.DUMMYFUNCTION("""COMPUTED_VALUE"""),59)</f>
        <v>59</v>
      </c>
      <c r="L205" s="20">
        <f ca="1">IFERROR(__xludf.DUMMYFUNCTION("""COMPUTED_VALUE"""),-10)</f>
        <v>-10</v>
      </c>
      <c r="M205" s="21">
        <f ca="1">IFERROR(__xludf.DUMMYFUNCTION("""COMPUTED_VALUE"""),59)</f>
        <v>59</v>
      </c>
      <c r="N205" s="21">
        <f ca="1">IFERROR(__xludf.DUMMYFUNCTION("""COMPUTED_VALUE"""),0)</f>
        <v>0</v>
      </c>
      <c r="O205" s="22">
        <f ca="1">IFERROR(__xludf.DUMMYFUNCTION("""COMPUTED_VALUE"""),71)</f>
        <v>71</v>
      </c>
      <c r="P205" s="22">
        <f ca="1">IFERROR(__xludf.DUMMYFUNCTION("""COMPUTED_VALUE"""),0)</f>
        <v>0</v>
      </c>
      <c r="Q205" s="23">
        <f ca="1">IFERROR(__xludf.DUMMYFUNCTION("""COMPUTED_VALUE"""),521)</f>
        <v>521</v>
      </c>
      <c r="R205" s="23">
        <f ca="1">IFERROR(__xludf.DUMMYFUNCTION("""COMPUTED_VALUE"""),0)</f>
        <v>0</v>
      </c>
      <c r="S205" s="24" t="str">
        <f ca="1">IFERROR(__xludf.DUMMYFUNCTION("""COMPUTED_VALUE"""),"Strong Jaw")</f>
        <v>Strong Jaw</v>
      </c>
      <c r="T205" s="25"/>
      <c r="U205" s="24" t="str">
        <f ca="1">IFERROR(__xludf.DUMMYFUNCTION("""COMPUTED_VALUE"""),"Rock Head")</f>
        <v>Rock Head</v>
      </c>
      <c r="V205" s="25" t="str">
        <f ca="1">IFERROR(__xludf.DUMMYFUNCTION("""COMPUTED_VALUE"""),"Lv. 34, Day")</f>
        <v>Lv. 34, Day</v>
      </c>
      <c r="W205" s="25"/>
      <c r="X205" s="25"/>
      <c r="Y205" s="25" t="str">
        <f ca="1">IFERROR(__xludf.DUMMYFUNCTION("""COMPUTED_VALUE"""),"Tyrunt (evolve)")</f>
        <v>Tyrunt (evolve)</v>
      </c>
    </row>
    <row r="206" spans="1:25" x14ac:dyDescent="0.25">
      <c r="A206" s="15" t="str">
        <f ca="1">IFERROR(__xludf.DUMMYFUNCTION("""COMPUTED_VALUE"""),"Amaura")</f>
        <v>Amaura</v>
      </c>
      <c r="B206" s="16">
        <f ca="1">IFERROR(__xludf.DUMMYFUNCTION("""COMPUTED_VALUE"""),205)</f>
        <v>205</v>
      </c>
      <c r="C206" s="3" t="str">
        <f ca="1">IFERROR(__xludf.DUMMYFUNCTION("""COMPUTED_VALUE"""),"Rock")</f>
        <v>Rock</v>
      </c>
      <c r="D206" s="3" t="str">
        <f ca="1">IFERROR(__xludf.DUMMYFUNCTION("""COMPUTED_VALUE"""),"Ice")</f>
        <v>Ice</v>
      </c>
      <c r="E206" s="17">
        <f ca="1">IFERROR(__xludf.DUMMYFUNCTION("""COMPUTED_VALUE"""),77)</f>
        <v>77</v>
      </c>
      <c r="F206" s="17">
        <f ca="1">IFERROR(__xludf.DUMMYFUNCTION("""COMPUTED_VALUE"""),0)</f>
        <v>0</v>
      </c>
      <c r="G206" s="18">
        <f ca="1">IFERROR(__xludf.DUMMYFUNCTION("""COMPUTED_VALUE"""),59)</f>
        <v>59</v>
      </c>
      <c r="H206" s="18">
        <f ca="1">IFERROR(__xludf.DUMMYFUNCTION("""COMPUTED_VALUE"""),0)</f>
        <v>0</v>
      </c>
      <c r="I206" s="19">
        <f ca="1">IFERROR(__xludf.DUMMYFUNCTION("""COMPUTED_VALUE"""),50)</f>
        <v>50</v>
      </c>
      <c r="J206" s="19">
        <f ca="1">IFERROR(__xludf.DUMMYFUNCTION("""COMPUTED_VALUE"""),0)</f>
        <v>0</v>
      </c>
      <c r="K206" s="20">
        <f ca="1">IFERROR(__xludf.DUMMYFUNCTION("""COMPUTED_VALUE"""),67)</f>
        <v>67</v>
      </c>
      <c r="L206" s="20">
        <f ca="1">IFERROR(__xludf.DUMMYFUNCTION("""COMPUTED_VALUE"""),0)</f>
        <v>0</v>
      </c>
      <c r="M206" s="21">
        <f ca="1">IFERROR(__xludf.DUMMYFUNCTION("""COMPUTED_VALUE"""),63)</f>
        <v>63</v>
      </c>
      <c r="N206" s="21">
        <f ca="1">IFERROR(__xludf.DUMMYFUNCTION("""COMPUTED_VALUE"""),0)</f>
        <v>0</v>
      </c>
      <c r="O206" s="22">
        <f ca="1">IFERROR(__xludf.DUMMYFUNCTION("""COMPUTED_VALUE"""),46)</f>
        <v>46</v>
      </c>
      <c r="P206" s="22">
        <f ca="1">IFERROR(__xludf.DUMMYFUNCTION("""COMPUTED_VALUE"""),0)</f>
        <v>0</v>
      </c>
      <c r="Q206" s="23">
        <f ca="1">IFERROR(__xludf.DUMMYFUNCTION("""COMPUTED_VALUE"""),362)</f>
        <v>362</v>
      </c>
      <c r="R206" s="23">
        <f ca="1">IFERROR(__xludf.DUMMYFUNCTION("""COMPUTED_VALUE"""),0)</f>
        <v>0</v>
      </c>
      <c r="S206" s="24" t="str">
        <f ca="1">IFERROR(__xludf.DUMMYFUNCTION("""COMPUTED_VALUE"""),"Refrigerate")</f>
        <v>Refrigerate</v>
      </c>
      <c r="T206" s="25"/>
      <c r="U206" s="24" t="str">
        <f ca="1">IFERROR(__xludf.DUMMYFUNCTION("""COMPUTED_VALUE"""),"Prism Armor")</f>
        <v>Prism Armor</v>
      </c>
      <c r="V206" s="25"/>
      <c r="W206" s="25"/>
      <c r="X206" s="25"/>
      <c r="Y206" s="25" t="str">
        <f ca="1">IFERROR(__xludf.DUMMYFUNCTION("""COMPUTED_VALUE"""),"Froslass Cavern (wild)")</f>
        <v>Froslass Cavern (wild)</v>
      </c>
    </row>
    <row r="207" spans="1:25" x14ac:dyDescent="0.25">
      <c r="A207" s="15" t="str">
        <f ca="1">IFERROR(__xludf.DUMMYFUNCTION("""COMPUTED_VALUE"""),"Aurorus")</f>
        <v>Aurorus</v>
      </c>
      <c r="B207" s="16">
        <f ca="1">IFERROR(__xludf.DUMMYFUNCTION("""COMPUTED_VALUE"""),206)</f>
        <v>206</v>
      </c>
      <c r="C207" s="3" t="str">
        <f ca="1">IFERROR(__xludf.DUMMYFUNCTION("""COMPUTED_VALUE"""),"Rock")</f>
        <v>Rock</v>
      </c>
      <c r="D207" s="3" t="str">
        <f ca="1">IFERROR(__xludf.DUMMYFUNCTION("""COMPUTED_VALUE"""),"Ice")</f>
        <v>Ice</v>
      </c>
      <c r="E207" s="17">
        <f ca="1">IFERROR(__xludf.DUMMYFUNCTION("""COMPUTED_VALUE"""),128)</f>
        <v>128</v>
      </c>
      <c r="F207" s="17">
        <f ca="1">IFERROR(__xludf.DUMMYFUNCTION("""COMPUTED_VALUE"""),5)</f>
        <v>5</v>
      </c>
      <c r="G207" s="18">
        <f ca="1">IFERROR(__xludf.DUMMYFUNCTION("""COMPUTED_VALUE"""),72)</f>
        <v>72</v>
      </c>
      <c r="H207" s="18">
        <f ca="1">IFERROR(__xludf.DUMMYFUNCTION("""COMPUTED_VALUE"""),-5)</f>
        <v>-5</v>
      </c>
      <c r="I207" s="19">
        <f ca="1">IFERROR(__xludf.DUMMYFUNCTION("""COMPUTED_VALUE"""),82)</f>
        <v>82</v>
      </c>
      <c r="J207" s="19">
        <f ca="1">IFERROR(__xludf.DUMMYFUNCTION("""COMPUTED_VALUE"""),10)</f>
        <v>10</v>
      </c>
      <c r="K207" s="20">
        <f ca="1">IFERROR(__xludf.DUMMYFUNCTION("""COMPUTED_VALUE"""),99)</f>
        <v>99</v>
      </c>
      <c r="L207" s="20">
        <f ca="1">IFERROR(__xludf.DUMMYFUNCTION("""COMPUTED_VALUE"""),0)</f>
        <v>0</v>
      </c>
      <c r="M207" s="21">
        <f ca="1">IFERROR(__xludf.DUMMYFUNCTION("""COMPUTED_VALUE"""),92)</f>
        <v>92</v>
      </c>
      <c r="N207" s="21">
        <f ca="1">IFERROR(__xludf.DUMMYFUNCTION("""COMPUTED_VALUE"""),0)</f>
        <v>0</v>
      </c>
      <c r="O207" s="22">
        <f ca="1">IFERROR(__xludf.DUMMYFUNCTION("""COMPUTED_VALUE"""),48)</f>
        <v>48</v>
      </c>
      <c r="P207" s="22">
        <f ca="1">IFERROR(__xludf.DUMMYFUNCTION("""COMPUTED_VALUE"""),-10)</f>
        <v>-10</v>
      </c>
      <c r="Q207" s="23">
        <f ca="1">IFERROR(__xludf.DUMMYFUNCTION("""COMPUTED_VALUE"""),521)</f>
        <v>521</v>
      </c>
      <c r="R207" s="23">
        <f ca="1">IFERROR(__xludf.DUMMYFUNCTION("""COMPUTED_VALUE"""),0)</f>
        <v>0</v>
      </c>
      <c r="S207" s="24" t="str">
        <f ca="1">IFERROR(__xludf.DUMMYFUNCTION("""COMPUTED_VALUE"""),"Refrigerate")</f>
        <v>Refrigerate</v>
      </c>
      <c r="T207" s="25"/>
      <c r="U207" s="24" t="str">
        <f ca="1">IFERROR(__xludf.DUMMYFUNCTION("""COMPUTED_VALUE"""),"Prism Armor")</f>
        <v>Prism Armor</v>
      </c>
      <c r="V207" s="25" t="str">
        <f ca="1">IFERROR(__xludf.DUMMYFUNCTION("""COMPUTED_VALUE"""),"Lv. 34, Night")</f>
        <v>Lv. 34, Night</v>
      </c>
      <c r="W207" s="25"/>
      <c r="X207" s="25"/>
      <c r="Y207" s="25" t="str">
        <f ca="1">IFERROR(__xludf.DUMMYFUNCTION("""COMPUTED_VALUE"""),"Amaura (evolve)")</f>
        <v>Amaura (evolve)</v>
      </c>
    </row>
    <row r="208" spans="1:25" x14ac:dyDescent="0.25">
      <c r="A208" s="15" t="str">
        <f ca="1">IFERROR(__xludf.DUMMYFUNCTION("""COMPUTED_VALUE"""),"Meowth")</f>
        <v>Meowth</v>
      </c>
      <c r="B208" s="16">
        <f ca="1">IFERROR(__xludf.DUMMYFUNCTION("""COMPUTED_VALUE"""),207)</f>
        <v>207</v>
      </c>
      <c r="C208" s="3" t="str">
        <f ca="1">IFERROR(__xludf.DUMMYFUNCTION("""COMPUTED_VALUE"""),"Normal")</f>
        <v>Normal</v>
      </c>
      <c r="D208" s="3"/>
      <c r="E208" s="17">
        <f ca="1">IFERROR(__xludf.DUMMYFUNCTION("""COMPUTED_VALUE"""),40)</f>
        <v>40</v>
      </c>
      <c r="F208" s="17">
        <f ca="1">IFERROR(__xludf.DUMMYFUNCTION("""COMPUTED_VALUE"""),0)</f>
        <v>0</v>
      </c>
      <c r="G208" s="18">
        <f ca="1">IFERROR(__xludf.DUMMYFUNCTION("""COMPUTED_VALUE"""),50)</f>
        <v>50</v>
      </c>
      <c r="H208" s="18">
        <f ca="1">IFERROR(__xludf.DUMMYFUNCTION("""COMPUTED_VALUE"""),5)</f>
        <v>5</v>
      </c>
      <c r="I208" s="19">
        <f ca="1">IFERROR(__xludf.DUMMYFUNCTION("""COMPUTED_VALUE"""),35)</f>
        <v>35</v>
      </c>
      <c r="J208" s="19">
        <f ca="1">IFERROR(__xludf.DUMMYFUNCTION("""COMPUTED_VALUE"""),0)</f>
        <v>0</v>
      </c>
      <c r="K208" s="20">
        <f ca="1">IFERROR(__xludf.DUMMYFUNCTION("""COMPUTED_VALUE"""),45)</f>
        <v>45</v>
      </c>
      <c r="L208" s="20">
        <f ca="1">IFERROR(__xludf.DUMMYFUNCTION("""COMPUTED_VALUE"""),5)</f>
        <v>5</v>
      </c>
      <c r="M208" s="21">
        <f ca="1">IFERROR(__xludf.DUMMYFUNCTION("""COMPUTED_VALUE"""),40)</f>
        <v>40</v>
      </c>
      <c r="N208" s="21">
        <f ca="1">IFERROR(__xludf.DUMMYFUNCTION("""COMPUTED_VALUE"""),0)</f>
        <v>0</v>
      </c>
      <c r="O208" s="22">
        <f ca="1">IFERROR(__xludf.DUMMYFUNCTION("""COMPUTED_VALUE"""),90)</f>
        <v>90</v>
      </c>
      <c r="P208" s="22">
        <f ca="1">IFERROR(__xludf.DUMMYFUNCTION("""COMPUTED_VALUE"""),0)</f>
        <v>0</v>
      </c>
      <c r="Q208" s="23">
        <f ca="1">IFERROR(__xludf.DUMMYFUNCTION("""COMPUTED_VALUE"""),300)</f>
        <v>300</v>
      </c>
      <c r="R208" s="23">
        <f ca="1">IFERROR(__xludf.DUMMYFUNCTION("""COMPUTED_VALUE"""),10)</f>
        <v>10</v>
      </c>
      <c r="S208" s="24" t="str">
        <f ca="1">IFERROR(__xludf.DUMMYFUNCTION("""COMPUTED_VALUE"""),"Pickup")</f>
        <v>Pickup</v>
      </c>
      <c r="T208" s="24" t="str">
        <f ca="1">IFERROR(__xludf.DUMMYFUNCTION("""COMPUTED_VALUE"""),"Technician")</f>
        <v>Technician</v>
      </c>
      <c r="U208" s="24" t="str">
        <f ca="1">IFERROR(__xludf.DUMMYFUNCTION("""COMPUTED_VALUE"""),"Unnerve")</f>
        <v>Unnerve</v>
      </c>
      <c r="V208" s="25"/>
      <c r="W208" s="25"/>
      <c r="X208" s="25" t="str">
        <f ca="1">IFERROR(__xludf.DUMMYFUNCTION("""COMPUTED_VALUE"""),"Quick Claw")</f>
        <v>Quick Claw</v>
      </c>
      <c r="Y208" s="25" t="str">
        <f ca="1">IFERROR(__xludf.DUMMYFUNCTION("""COMPUTED_VALUE"""),"Kalami City, Pythios Town (wild)")</f>
        <v>Kalami City, Pythios Town (wild)</v>
      </c>
    </row>
    <row r="209" spans="1:25" x14ac:dyDescent="0.25">
      <c r="A209" s="15" t="str">
        <f ca="1">IFERROR(__xludf.DUMMYFUNCTION("""COMPUTED_VALUE"""),"Persian")</f>
        <v>Persian</v>
      </c>
      <c r="B209" s="16">
        <f ca="1">IFERROR(__xludf.DUMMYFUNCTION("""COMPUTED_VALUE"""),208)</f>
        <v>208</v>
      </c>
      <c r="C209" s="3" t="str">
        <f ca="1">IFERROR(__xludf.DUMMYFUNCTION("""COMPUTED_VALUE"""),"Normal")</f>
        <v>Normal</v>
      </c>
      <c r="D209" s="3"/>
      <c r="E209" s="17">
        <f ca="1">IFERROR(__xludf.DUMMYFUNCTION("""COMPUTED_VALUE"""),75)</f>
        <v>75</v>
      </c>
      <c r="F209" s="17">
        <f ca="1">IFERROR(__xludf.DUMMYFUNCTION("""COMPUTED_VALUE"""),10)</f>
        <v>10</v>
      </c>
      <c r="G209" s="18">
        <f ca="1">IFERROR(__xludf.DUMMYFUNCTION("""COMPUTED_VALUE"""),80)</f>
        <v>80</v>
      </c>
      <c r="H209" s="18">
        <f ca="1">IFERROR(__xludf.DUMMYFUNCTION("""COMPUTED_VALUE"""),10)</f>
        <v>10</v>
      </c>
      <c r="I209" s="19">
        <f ca="1">IFERROR(__xludf.DUMMYFUNCTION("""COMPUTED_VALUE"""),65)</f>
        <v>65</v>
      </c>
      <c r="J209" s="19">
        <f ca="1">IFERROR(__xludf.DUMMYFUNCTION("""COMPUTED_VALUE"""),5)</f>
        <v>5</v>
      </c>
      <c r="K209" s="20">
        <f ca="1">IFERROR(__xludf.DUMMYFUNCTION("""COMPUTED_VALUE"""),75)</f>
        <v>75</v>
      </c>
      <c r="L209" s="20">
        <f ca="1">IFERROR(__xludf.DUMMYFUNCTION("""COMPUTED_VALUE"""),10)</f>
        <v>10</v>
      </c>
      <c r="M209" s="21">
        <f ca="1">IFERROR(__xludf.DUMMYFUNCTION("""COMPUTED_VALUE"""),70)</f>
        <v>70</v>
      </c>
      <c r="N209" s="21">
        <f ca="1">IFERROR(__xludf.DUMMYFUNCTION("""COMPUTED_VALUE"""),5)</f>
        <v>5</v>
      </c>
      <c r="O209" s="22">
        <f ca="1">IFERROR(__xludf.DUMMYFUNCTION("""COMPUTED_VALUE"""),115)</f>
        <v>115</v>
      </c>
      <c r="P209" s="22">
        <f ca="1">IFERROR(__xludf.DUMMYFUNCTION("""COMPUTED_VALUE"""),0)</f>
        <v>0</v>
      </c>
      <c r="Q209" s="23">
        <f ca="1">IFERROR(__xludf.DUMMYFUNCTION("""COMPUTED_VALUE"""),480)</f>
        <v>480</v>
      </c>
      <c r="R209" s="23">
        <f ca="1">IFERROR(__xludf.DUMMYFUNCTION("""COMPUTED_VALUE"""),40)</f>
        <v>40</v>
      </c>
      <c r="S209" s="24" t="str">
        <f ca="1">IFERROR(__xludf.DUMMYFUNCTION("""COMPUTED_VALUE"""),"Limber")</f>
        <v>Limber</v>
      </c>
      <c r="T209" s="24" t="str">
        <f ca="1">IFERROR(__xludf.DUMMYFUNCTION("""COMPUTED_VALUE"""),"Technician")</f>
        <v>Technician</v>
      </c>
      <c r="U209" s="24" t="str">
        <f ca="1">IFERROR(__xludf.DUMMYFUNCTION("""COMPUTED_VALUE"""),"Unnerve")</f>
        <v>Unnerve</v>
      </c>
      <c r="V209" s="25" t="str">
        <f ca="1">IFERROR(__xludf.DUMMYFUNCTION("""COMPUTED_VALUE"""),"Lv. 27")</f>
        <v>Lv. 27</v>
      </c>
      <c r="W209" s="25"/>
      <c r="X209" s="25" t="str">
        <f ca="1">IFERROR(__xludf.DUMMYFUNCTION("""COMPUTED_VALUE"""),"Quick Claw")</f>
        <v>Quick Claw</v>
      </c>
      <c r="Y209" s="25" t="str">
        <f ca="1">IFERROR(__xludf.DUMMYFUNCTION("""COMPUTED_VALUE"""),"The Nyx Trails (wild)")</f>
        <v>The Nyx Trails (wild)</v>
      </c>
    </row>
    <row r="210" spans="1:25" x14ac:dyDescent="0.25">
      <c r="A210" s="15" t="str">
        <f ca="1">IFERROR(__xludf.DUMMYFUNCTION("""COMPUTED_VALUE"""),"Perrserker")</f>
        <v>Perrserker</v>
      </c>
      <c r="B210" s="16">
        <f ca="1">IFERROR(__xludf.DUMMYFUNCTION("""COMPUTED_VALUE"""),209)</f>
        <v>209</v>
      </c>
      <c r="C210" s="3" t="str">
        <f ca="1">IFERROR(__xludf.DUMMYFUNCTION("""COMPUTED_VALUE"""),"Steel")</f>
        <v>Steel</v>
      </c>
      <c r="D210" s="3"/>
      <c r="E210" s="17">
        <f ca="1">IFERROR(__xludf.DUMMYFUNCTION("""COMPUTED_VALUE"""),75)</f>
        <v>75</v>
      </c>
      <c r="F210" s="17">
        <f ca="1">IFERROR(__xludf.DUMMYFUNCTION("""COMPUTED_VALUE"""),5)</f>
        <v>5</v>
      </c>
      <c r="G210" s="18">
        <f ca="1">IFERROR(__xludf.DUMMYFUNCTION("""COMPUTED_VALUE"""),120)</f>
        <v>120</v>
      </c>
      <c r="H210" s="18">
        <f ca="1">IFERROR(__xludf.DUMMYFUNCTION("""COMPUTED_VALUE"""),10)</f>
        <v>10</v>
      </c>
      <c r="I210" s="19">
        <f ca="1">IFERROR(__xludf.DUMMYFUNCTION("""COMPUTED_VALUE"""),120)</f>
        <v>120</v>
      </c>
      <c r="J210" s="19">
        <f ca="1">IFERROR(__xludf.DUMMYFUNCTION("""COMPUTED_VALUE"""),20)</f>
        <v>20</v>
      </c>
      <c r="K210" s="20">
        <f ca="1">IFERROR(__xludf.DUMMYFUNCTION("""COMPUTED_VALUE"""),50)</f>
        <v>50</v>
      </c>
      <c r="L210" s="20">
        <f ca="1">IFERROR(__xludf.DUMMYFUNCTION("""COMPUTED_VALUE"""),0)</f>
        <v>0</v>
      </c>
      <c r="M210" s="21">
        <f ca="1">IFERROR(__xludf.DUMMYFUNCTION("""COMPUTED_VALUE"""),65)</f>
        <v>65</v>
      </c>
      <c r="N210" s="21">
        <f ca="1">IFERROR(__xludf.DUMMYFUNCTION("""COMPUTED_VALUE"""),5)</f>
        <v>5</v>
      </c>
      <c r="O210" s="22">
        <f ca="1">IFERROR(__xludf.DUMMYFUNCTION("""COMPUTED_VALUE"""),50)</f>
        <v>50</v>
      </c>
      <c r="P210" s="22">
        <f ca="1">IFERROR(__xludf.DUMMYFUNCTION("""COMPUTED_VALUE"""),0)</f>
        <v>0</v>
      </c>
      <c r="Q210" s="23">
        <f ca="1">IFERROR(__xludf.DUMMYFUNCTION("""COMPUTED_VALUE"""),480)</f>
        <v>480</v>
      </c>
      <c r="R210" s="23">
        <f ca="1">IFERROR(__xludf.DUMMYFUNCTION("""COMPUTED_VALUE"""),40)</f>
        <v>40</v>
      </c>
      <c r="S210" s="24" t="str">
        <f ca="1">IFERROR(__xludf.DUMMYFUNCTION("""COMPUTED_VALUE"""),"Battle Armor")</f>
        <v>Battle Armor</v>
      </c>
      <c r="T210" s="24" t="str">
        <f ca="1">IFERROR(__xludf.DUMMYFUNCTION("""COMPUTED_VALUE"""),"Tough Claws")</f>
        <v>Tough Claws</v>
      </c>
      <c r="U210" s="24" t="str">
        <f ca="1">IFERROR(__xludf.DUMMYFUNCTION("""COMPUTED_VALUE"""),"Steely Spirit")</f>
        <v>Steely Spirit</v>
      </c>
      <c r="V210" s="25" t="str">
        <f ca="1">IFERROR(__xludf.DUMMYFUNCTION("""COMPUTED_VALUE"""),"Lv. 27")</f>
        <v>Lv. 27</v>
      </c>
      <c r="W210" s="25"/>
      <c r="X210" s="25"/>
      <c r="Y210" s="25" t="str">
        <f ca="1">IFERROR(__xludf.DUMMYFUNCTION("""COMPUTED_VALUE"""),"The Nyx Trails, Kaptara Island (wild)")</f>
        <v>The Nyx Trails, Kaptara Island (wild)</v>
      </c>
    </row>
    <row r="211" spans="1:25" x14ac:dyDescent="0.25">
      <c r="A211" s="15" t="str">
        <f ca="1">IFERROR(__xludf.DUMMYFUNCTION("""COMPUTED_VALUE"""),"Pachirisu")</f>
        <v>Pachirisu</v>
      </c>
      <c r="B211" s="16">
        <f ca="1">IFERROR(__xludf.DUMMYFUNCTION("""COMPUTED_VALUE"""),210)</f>
        <v>210</v>
      </c>
      <c r="C211" s="3" t="str">
        <f ca="1">IFERROR(__xludf.DUMMYFUNCTION("""COMPUTED_VALUE"""),"Electric")</f>
        <v>Electric</v>
      </c>
      <c r="D211" s="3"/>
      <c r="E211" s="17">
        <f ca="1">IFERROR(__xludf.DUMMYFUNCTION("""COMPUTED_VALUE"""),60)</f>
        <v>60</v>
      </c>
      <c r="F211" s="17">
        <f ca="1">IFERROR(__xludf.DUMMYFUNCTION("""COMPUTED_VALUE"""),0)</f>
        <v>0</v>
      </c>
      <c r="G211" s="18">
        <f ca="1">IFERROR(__xludf.DUMMYFUNCTION("""COMPUTED_VALUE"""),45)</f>
        <v>45</v>
      </c>
      <c r="H211" s="18">
        <f ca="1">IFERROR(__xludf.DUMMYFUNCTION("""COMPUTED_VALUE"""),0)</f>
        <v>0</v>
      </c>
      <c r="I211" s="19">
        <f ca="1">IFERROR(__xludf.DUMMYFUNCTION("""COMPUTED_VALUE"""),70)</f>
        <v>70</v>
      </c>
      <c r="J211" s="19">
        <f ca="1">IFERROR(__xludf.DUMMYFUNCTION("""COMPUTED_VALUE"""),0)</f>
        <v>0</v>
      </c>
      <c r="K211" s="20">
        <f ca="1">IFERROR(__xludf.DUMMYFUNCTION("""COMPUTED_VALUE"""),75)</f>
        <v>75</v>
      </c>
      <c r="L211" s="20">
        <f ca="1">IFERROR(__xludf.DUMMYFUNCTION("""COMPUTED_VALUE"""),30)</f>
        <v>30</v>
      </c>
      <c r="M211" s="21">
        <f ca="1">IFERROR(__xludf.DUMMYFUNCTION("""COMPUTED_VALUE"""),110)</f>
        <v>110</v>
      </c>
      <c r="N211" s="21">
        <f ca="1">IFERROR(__xludf.DUMMYFUNCTION("""COMPUTED_VALUE"""),20)</f>
        <v>20</v>
      </c>
      <c r="O211" s="22">
        <f ca="1">IFERROR(__xludf.DUMMYFUNCTION("""COMPUTED_VALUE"""),95)</f>
        <v>95</v>
      </c>
      <c r="P211" s="22">
        <f ca="1">IFERROR(__xludf.DUMMYFUNCTION("""COMPUTED_VALUE"""),0)</f>
        <v>0</v>
      </c>
      <c r="Q211" s="23">
        <f ca="1">IFERROR(__xludf.DUMMYFUNCTION("""COMPUTED_VALUE"""),455)</f>
        <v>455</v>
      </c>
      <c r="R211" s="23">
        <f ca="1">IFERROR(__xludf.DUMMYFUNCTION("""COMPUTED_VALUE"""),50)</f>
        <v>50</v>
      </c>
      <c r="S211" s="24" t="str">
        <f ca="1">IFERROR(__xludf.DUMMYFUNCTION("""COMPUTED_VALUE"""),"Fur Coat")</f>
        <v>Fur Coat</v>
      </c>
      <c r="T211" s="24" t="str">
        <f ca="1">IFERROR(__xludf.DUMMYFUNCTION("""COMPUTED_VALUE"""),"Pickup")</f>
        <v>Pickup</v>
      </c>
      <c r="U211" s="24" t="str">
        <f ca="1">IFERROR(__xludf.DUMMYFUNCTION("""COMPUTED_VALUE"""),"Volt Absorb")</f>
        <v>Volt Absorb</v>
      </c>
      <c r="V211" s="25"/>
      <c r="W211" s="25"/>
      <c r="X211" s="25"/>
      <c r="Y211" s="25" t="str">
        <f ca="1">IFERROR(__xludf.DUMMYFUNCTION("""COMPUTED_VALUE"""),"Asfal Hills, Port Pello (wild)")</f>
        <v>Asfal Hills, Port Pello (wild)</v>
      </c>
    </row>
    <row r="212" spans="1:25" x14ac:dyDescent="0.25">
      <c r="A212" s="15" t="str">
        <f ca="1">IFERROR(__xludf.DUMMYFUNCTION("""COMPUTED_VALUE"""),"Chikorita")</f>
        <v>Chikorita</v>
      </c>
      <c r="B212" s="16">
        <f ca="1">IFERROR(__xludf.DUMMYFUNCTION("""COMPUTED_VALUE"""),211)</f>
        <v>211</v>
      </c>
      <c r="C212" s="3" t="str">
        <f ca="1">IFERROR(__xludf.DUMMYFUNCTION("""COMPUTED_VALUE"""),"Grass")</f>
        <v>Grass</v>
      </c>
      <c r="D212" s="3"/>
      <c r="E212" s="17">
        <f ca="1">IFERROR(__xludf.DUMMYFUNCTION("""COMPUTED_VALUE"""),50)</f>
        <v>50</v>
      </c>
      <c r="F212" s="17">
        <f ca="1">IFERROR(__xludf.DUMMYFUNCTION("""COMPUTED_VALUE"""),5)</f>
        <v>5</v>
      </c>
      <c r="G212" s="18">
        <f ca="1">IFERROR(__xludf.DUMMYFUNCTION("""COMPUTED_VALUE"""),49)</f>
        <v>49</v>
      </c>
      <c r="H212" s="18">
        <f ca="1">IFERROR(__xludf.DUMMYFUNCTION("""COMPUTED_VALUE"""),0)</f>
        <v>0</v>
      </c>
      <c r="I212" s="19">
        <f ca="1">IFERROR(__xludf.DUMMYFUNCTION("""COMPUTED_VALUE"""),65)</f>
        <v>65</v>
      </c>
      <c r="J212" s="19">
        <f ca="1">IFERROR(__xludf.DUMMYFUNCTION("""COMPUTED_VALUE"""),0)</f>
        <v>0</v>
      </c>
      <c r="K212" s="20">
        <f ca="1">IFERROR(__xludf.DUMMYFUNCTION("""COMPUTED_VALUE"""),49)</f>
        <v>49</v>
      </c>
      <c r="L212" s="20">
        <f ca="1">IFERROR(__xludf.DUMMYFUNCTION("""COMPUTED_VALUE"""),0)</f>
        <v>0</v>
      </c>
      <c r="M212" s="21">
        <f ca="1">IFERROR(__xludf.DUMMYFUNCTION("""COMPUTED_VALUE"""),65)</f>
        <v>65</v>
      </c>
      <c r="N212" s="21">
        <f ca="1">IFERROR(__xludf.DUMMYFUNCTION("""COMPUTED_VALUE"""),0)</f>
        <v>0</v>
      </c>
      <c r="O212" s="22">
        <f ca="1">IFERROR(__xludf.DUMMYFUNCTION("""COMPUTED_VALUE"""),45)</f>
        <v>45</v>
      </c>
      <c r="P212" s="22">
        <f ca="1">IFERROR(__xludf.DUMMYFUNCTION("""COMPUTED_VALUE"""),0)</f>
        <v>0</v>
      </c>
      <c r="Q212" s="23">
        <f ca="1">IFERROR(__xludf.DUMMYFUNCTION("""COMPUTED_VALUE"""),323)</f>
        <v>323</v>
      </c>
      <c r="R212" s="23">
        <f ca="1">IFERROR(__xludf.DUMMYFUNCTION("""COMPUTED_VALUE"""),5)</f>
        <v>5</v>
      </c>
      <c r="S212" s="24" t="str">
        <f ca="1">IFERROR(__xludf.DUMMYFUNCTION("""COMPUTED_VALUE"""),"Overgrow")</f>
        <v>Overgrow</v>
      </c>
      <c r="T212" s="24" t="str">
        <f ca="1">IFERROR(__xludf.DUMMYFUNCTION("""COMPUTED_VALUE"""),"Thick Layers")</f>
        <v>Thick Layers</v>
      </c>
      <c r="U212" s="24" t="str">
        <f ca="1">IFERROR(__xludf.DUMMYFUNCTION("""COMPUTED_VALUE"""),"Triage")</f>
        <v>Triage</v>
      </c>
      <c r="V212" s="25"/>
      <c r="W212" s="25"/>
      <c r="X212" s="25"/>
      <c r="Y212" s="25"/>
    </row>
    <row r="213" spans="1:25" x14ac:dyDescent="0.25">
      <c r="A213" s="15" t="str">
        <f ca="1">IFERROR(__xludf.DUMMYFUNCTION("""COMPUTED_VALUE"""),"Bayleef")</f>
        <v>Bayleef</v>
      </c>
      <c r="B213" s="16">
        <f ca="1">IFERROR(__xludf.DUMMYFUNCTION("""COMPUTED_VALUE"""),212)</f>
        <v>212</v>
      </c>
      <c r="C213" s="3" t="str">
        <f ca="1">IFERROR(__xludf.DUMMYFUNCTION("""COMPUTED_VALUE"""),"Grass")</f>
        <v>Grass</v>
      </c>
      <c r="D213" s="3"/>
      <c r="E213" s="17">
        <f ca="1">IFERROR(__xludf.DUMMYFUNCTION("""COMPUTED_VALUE"""),80)</f>
        <v>80</v>
      </c>
      <c r="F213" s="17">
        <f ca="1">IFERROR(__xludf.DUMMYFUNCTION("""COMPUTED_VALUE"""),20)</f>
        <v>20</v>
      </c>
      <c r="G213" s="18">
        <f ca="1">IFERROR(__xludf.DUMMYFUNCTION("""COMPUTED_VALUE"""),62)</f>
        <v>62</v>
      </c>
      <c r="H213" s="18">
        <f ca="1">IFERROR(__xludf.DUMMYFUNCTION("""COMPUTED_VALUE"""),0)</f>
        <v>0</v>
      </c>
      <c r="I213" s="19">
        <f ca="1">IFERROR(__xludf.DUMMYFUNCTION("""COMPUTED_VALUE"""),80)</f>
        <v>80</v>
      </c>
      <c r="J213" s="19">
        <f ca="1">IFERROR(__xludf.DUMMYFUNCTION("""COMPUTED_VALUE"""),0)</f>
        <v>0</v>
      </c>
      <c r="K213" s="20">
        <f ca="1">IFERROR(__xludf.DUMMYFUNCTION("""COMPUTED_VALUE"""),63)</f>
        <v>63</v>
      </c>
      <c r="L213" s="20">
        <f ca="1">IFERROR(__xludf.DUMMYFUNCTION("""COMPUTED_VALUE"""),0)</f>
        <v>0</v>
      </c>
      <c r="M213" s="21">
        <f ca="1">IFERROR(__xludf.DUMMYFUNCTION("""COMPUTED_VALUE"""),75)</f>
        <v>75</v>
      </c>
      <c r="N213" s="21">
        <f ca="1">IFERROR(__xludf.DUMMYFUNCTION("""COMPUTED_VALUE"""),-5)</f>
        <v>-5</v>
      </c>
      <c r="O213" s="22">
        <f ca="1">IFERROR(__xludf.DUMMYFUNCTION("""COMPUTED_VALUE"""),55)</f>
        <v>55</v>
      </c>
      <c r="P213" s="22">
        <f ca="1">IFERROR(__xludf.DUMMYFUNCTION("""COMPUTED_VALUE"""),-5)</f>
        <v>-5</v>
      </c>
      <c r="Q213" s="23">
        <f ca="1">IFERROR(__xludf.DUMMYFUNCTION("""COMPUTED_VALUE"""),415)</f>
        <v>415</v>
      </c>
      <c r="R213" s="23">
        <f ca="1">IFERROR(__xludf.DUMMYFUNCTION("""COMPUTED_VALUE"""),10)</f>
        <v>10</v>
      </c>
      <c r="S213" s="24" t="str">
        <f ca="1">IFERROR(__xludf.DUMMYFUNCTION("""COMPUTED_VALUE"""),"Overgrow")</f>
        <v>Overgrow</v>
      </c>
      <c r="T213" s="24" t="str">
        <f ca="1">IFERROR(__xludf.DUMMYFUNCTION("""COMPUTED_VALUE"""),"Thick Layers")</f>
        <v>Thick Layers</v>
      </c>
      <c r="U213" s="24" t="str">
        <f ca="1">IFERROR(__xludf.DUMMYFUNCTION("""COMPUTED_VALUE"""),"Triage")</f>
        <v>Triage</v>
      </c>
      <c r="V213" s="25" t="str">
        <f ca="1">IFERROR(__xludf.DUMMYFUNCTION("""COMPUTED_VALUE"""),"Lv. 16")</f>
        <v>Lv. 16</v>
      </c>
      <c r="W213" s="25"/>
      <c r="X213" s="25"/>
      <c r="Y213" s="25" t="str">
        <f ca="1">IFERROR(__xludf.DUMMYFUNCTION("""COMPUTED_VALUE"""),"Chikorita (evolve)")</f>
        <v>Chikorita (evolve)</v>
      </c>
    </row>
    <row r="214" spans="1:25" x14ac:dyDescent="0.25">
      <c r="A214" s="15" t="str">
        <f ca="1">IFERROR(__xludf.DUMMYFUNCTION("""COMPUTED_VALUE"""),"Meganium")</f>
        <v>Meganium</v>
      </c>
      <c r="B214" s="16">
        <f ca="1">IFERROR(__xludf.DUMMYFUNCTION("""COMPUTED_VALUE"""),213)</f>
        <v>213</v>
      </c>
      <c r="C214" s="3" t="str">
        <f ca="1">IFERROR(__xludf.DUMMYFUNCTION("""COMPUTED_VALUE"""),"Grass")</f>
        <v>Grass</v>
      </c>
      <c r="D214" s="3" t="str">
        <f ca="1">IFERROR(__xludf.DUMMYFUNCTION("""COMPUTED_VALUE"""),"Fairy")</f>
        <v>Fairy</v>
      </c>
      <c r="E214" s="17">
        <f ca="1">IFERROR(__xludf.DUMMYFUNCTION("""COMPUTED_VALUE"""),100)</f>
        <v>100</v>
      </c>
      <c r="F214" s="17">
        <f ca="1">IFERROR(__xludf.DUMMYFUNCTION("""COMPUTED_VALUE"""),20)</f>
        <v>20</v>
      </c>
      <c r="G214" s="18">
        <f ca="1">IFERROR(__xludf.DUMMYFUNCTION("""COMPUTED_VALUE"""),82)</f>
        <v>82</v>
      </c>
      <c r="H214" s="18">
        <f ca="1">IFERROR(__xludf.DUMMYFUNCTION("""COMPUTED_VALUE"""),0)</f>
        <v>0</v>
      </c>
      <c r="I214" s="19">
        <f ca="1">IFERROR(__xludf.DUMMYFUNCTION("""COMPUTED_VALUE"""),100)</f>
        <v>100</v>
      </c>
      <c r="J214" s="19">
        <f ca="1">IFERROR(__xludf.DUMMYFUNCTION("""COMPUTED_VALUE"""),0)</f>
        <v>0</v>
      </c>
      <c r="K214" s="20">
        <f ca="1">IFERROR(__xludf.DUMMYFUNCTION("""COMPUTED_VALUE"""),83)</f>
        <v>83</v>
      </c>
      <c r="L214" s="20">
        <f ca="1">IFERROR(__xludf.DUMMYFUNCTION("""COMPUTED_VALUE"""),0)</f>
        <v>0</v>
      </c>
      <c r="M214" s="21">
        <f ca="1">IFERROR(__xludf.DUMMYFUNCTION("""COMPUTED_VALUE"""),100)</f>
        <v>100</v>
      </c>
      <c r="N214" s="21">
        <f ca="1">IFERROR(__xludf.DUMMYFUNCTION("""COMPUTED_VALUE"""),0)</f>
        <v>0</v>
      </c>
      <c r="O214" s="22">
        <f ca="1">IFERROR(__xludf.DUMMYFUNCTION("""COMPUTED_VALUE"""),80)</f>
        <v>80</v>
      </c>
      <c r="P214" s="22">
        <f ca="1">IFERROR(__xludf.DUMMYFUNCTION("""COMPUTED_VALUE"""),0)</f>
        <v>0</v>
      </c>
      <c r="Q214" s="23">
        <f ca="1">IFERROR(__xludf.DUMMYFUNCTION("""COMPUTED_VALUE"""),545)</f>
        <v>545</v>
      </c>
      <c r="R214" s="23">
        <f ca="1">IFERROR(__xludf.DUMMYFUNCTION("""COMPUTED_VALUE"""),20)</f>
        <v>20</v>
      </c>
      <c r="S214" s="24" t="str">
        <f ca="1">IFERROR(__xludf.DUMMYFUNCTION("""COMPUTED_VALUE"""),"Overgrow")</f>
        <v>Overgrow</v>
      </c>
      <c r="T214" s="24" t="str">
        <f ca="1">IFERROR(__xludf.DUMMYFUNCTION("""COMPUTED_VALUE"""),"Thick Layers")</f>
        <v>Thick Layers</v>
      </c>
      <c r="U214" s="24" t="str">
        <f ca="1">IFERROR(__xludf.DUMMYFUNCTION("""COMPUTED_VALUE"""),"Triage")</f>
        <v>Triage</v>
      </c>
      <c r="V214" s="25" t="str">
        <f ca="1">IFERROR(__xludf.DUMMYFUNCTION("""COMPUTED_VALUE"""),"Lv. 32")</f>
        <v>Lv. 32</v>
      </c>
      <c r="W214" s="25"/>
      <c r="X214" s="25"/>
      <c r="Y214" s="25" t="str">
        <f ca="1">IFERROR(__xludf.DUMMYFUNCTION("""COMPUTED_VALUE"""),"Bayleef (evolve)")</f>
        <v>Bayleef (evolve)</v>
      </c>
    </row>
    <row r="215" spans="1:25" x14ac:dyDescent="0.25">
      <c r="A215" s="15" t="str">
        <f ca="1">IFERROR(__xludf.DUMMYFUNCTION("""COMPUTED_VALUE"""),"Cyndaquil")</f>
        <v>Cyndaquil</v>
      </c>
      <c r="B215" s="16">
        <f ca="1">IFERROR(__xludf.DUMMYFUNCTION("""COMPUTED_VALUE"""),214)</f>
        <v>214</v>
      </c>
      <c r="C215" s="3" t="str">
        <f ca="1">IFERROR(__xludf.DUMMYFUNCTION("""COMPUTED_VALUE"""),"Fire")</f>
        <v>Fire</v>
      </c>
      <c r="D215" s="3"/>
      <c r="E215" s="17">
        <f ca="1">IFERROR(__xludf.DUMMYFUNCTION("""COMPUTED_VALUE"""),39)</f>
        <v>39</v>
      </c>
      <c r="F215" s="17">
        <f ca="1">IFERROR(__xludf.DUMMYFUNCTION("""COMPUTED_VALUE"""),0)</f>
        <v>0</v>
      </c>
      <c r="G215" s="18">
        <f ca="1">IFERROR(__xludf.DUMMYFUNCTION("""COMPUTED_VALUE"""),52)</f>
        <v>52</v>
      </c>
      <c r="H215" s="18">
        <f ca="1">IFERROR(__xludf.DUMMYFUNCTION("""COMPUTED_VALUE"""),0)</f>
        <v>0</v>
      </c>
      <c r="I215" s="19">
        <f ca="1">IFERROR(__xludf.DUMMYFUNCTION("""COMPUTED_VALUE"""),48)</f>
        <v>48</v>
      </c>
      <c r="J215" s="19">
        <f ca="1">IFERROR(__xludf.DUMMYFUNCTION("""COMPUTED_VALUE"""),5)</f>
        <v>5</v>
      </c>
      <c r="K215" s="20">
        <f ca="1">IFERROR(__xludf.DUMMYFUNCTION("""COMPUTED_VALUE"""),60)</f>
        <v>60</v>
      </c>
      <c r="L215" s="20">
        <f ca="1">IFERROR(__xludf.DUMMYFUNCTION("""COMPUTED_VALUE"""),0)</f>
        <v>0</v>
      </c>
      <c r="M215" s="21">
        <f ca="1">IFERROR(__xludf.DUMMYFUNCTION("""COMPUTED_VALUE"""),50)</f>
        <v>50</v>
      </c>
      <c r="N215" s="21">
        <f ca="1">IFERROR(__xludf.DUMMYFUNCTION("""COMPUTED_VALUE"""),0)</f>
        <v>0</v>
      </c>
      <c r="O215" s="22">
        <f ca="1">IFERROR(__xludf.DUMMYFUNCTION("""COMPUTED_VALUE"""),65)</f>
        <v>65</v>
      </c>
      <c r="P215" s="22">
        <f ca="1">IFERROR(__xludf.DUMMYFUNCTION("""COMPUTED_VALUE"""),0)</f>
        <v>0</v>
      </c>
      <c r="Q215" s="23">
        <f ca="1">IFERROR(__xludf.DUMMYFUNCTION("""COMPUTED_VALUE"""),314)</f>
        <v>314</v>
      </c>
      <c r="R215" s="23">
        <f ca="1">IFERROR(__xludf.DUMMYFUNCTION("""COMPUTED_VALUE"""),5)</f>
        <v>5</v>
      </c>
      <c r="S215" s="24" t="str">
        <f ca="1">IFERROR(__xludf.DUMMYFUNCTION("""COMPUTED_VALUE"""),"Blaze")</f>
        <v>Blaze</v>
      </c>
      <c r="T215" s="24" t="str">
        <f ca="1">IFERROR(__xludf.DUMMYFUNCTION("""COMPUTED_VALUE"""),"Flash Fire")</f>
        <v>Flash Fire</v>
      </c>
      <c r="U215" s="24" t="str">
        <f ca="1">IFERROR(__xludf.DUMMYFUNCTION("""COMPUTED_VALUE"""),"Stamina")</f>
        <v>Stamina</v>
      </c>
      <c r="V215" s="25"/>
      <c r="W215" s="25"/>
      <c r="X215" s="25"/>
      <c r="Y215" s="25"/>
    </row>
    <row r="216" spans="1:25" x14ac:dyDescent="0.25">
      <c r="A216" s="15" t="str">
        <f ca="1">IFERROR(__xludf.DUMMYFUNCTION("""COMPUTED_VALUE"""),"Quilava")</f>
        <v>Quilava</v>
      </c>
      <c r="B216" s="16">
        <f ca="1">IFERROR(__xludf.DUMMYFUNCTION("""COMPUTED_VALUE"""),215)</f>
        <v>215</v>
      </c>
      <c r="C216" s="3" t="str">
        <f ca="1">IFERROR(__xludf.DUMMYFUNCTION("""COMPUTED_VALUE"""),"Fire")</f>
        <v>Fire</v>
      </c>
      <c r="D216" s="3"/>
      <c r="E216" s="17">
        <f ca="1">IFERROR(__xludf.DUMMYFUNCTION("""COMPUTED_VALUE"""),58)</f>
        <v>58</v>
      </c>
      <c r="F216" s="17">
        <f ca="1">IFERROR(__xludf.DUMMYFUNCTION("""COMPUTED_VALUE"""),0)</f>
        <v>0</v>
      </c>
      <c r="G216" s="18">
        <f ca="1">IFERROR(__xludf.DUMMYFUNCTION("""COMPUTED_VALUE"""),64)</f>
        <v>64</v>
      </c>
      <c r="H216" s="18">
        <f ca="1">IFERROR(__xludf.DUMMYFUNCTION("""COMPUTED_VALUE"""),0)</f>
        <v>0</v>
      </c>
      <c r="I216" s="19">
        <f ca="1">IFERROR(__xludf.DUMMYFUNCTION("""COMPUTED_VALUE"""),63)</f>
        <v>63</v>
      </c>
      <c r="J216" s="19">
        <f ca="1">IFERROR(__xludf.DUMMYFUNCTION("""COMPUTED_VALUE"""),5)</f>
        <v>5</v>
      </c>
      <c r="K216" s="20">
        <f ca="1">IFERROR(__xludf.DUMMYFUNCTION("""COMPUTED_VALUE"""),80)</f>
        <v>80</v>
      </c>
      <c r="L216" s="20">
        <f ca="1">IFERROR(__xludf.DUMMYFUNCTION("""COMPUTED_VALUE"""),0)</f>
        <v>0</v>
      </c>
      <c r="M216" s="21">
        <f ca="1">IFERROR(__xludf.DUMMYFUNCTION("""COMPUTED_VALUE"""),70)</f>
        <v>70</v>
      </c>
      <c r="N216" s="21">
        <f ca="1">IFERROR(__xludf.DUMMYFUNCTION("""COMPUTED_VALUE"""),5)</f>
        <v>5</v>
      </c>
      <c r="O216" s="22">
        <f ca="1">IFERROR(__xludf.DUMMYFUNCTION("""COMPUTED_VALUE"""),80)</f>
        <v>80</v>
      </c>
      <c r="P216" s="22">
        <f ca="1">IFERROR(__xludf.DUMMYFUNCTION("""COMPUTED_VALUE"""),0)</f>
        <v>0</v>
      </c>
      <c r="Q216" s="23">
        <f ca="1">IFERROR(__xludf.DUMMYFUNCTION("""COMPUTED_VALUE"""),415)</f>
        <v>415</v>
      </c>
      <c r="R216" s="23">
        <f ca="1">IFERROR(__xludf.DUMMYFUNCTION("""COMPUTED_VALUE"""),10)</f>
        <v>10</v>
      </c>
      <c r="S216" s="24" t="str">
        <f ca="1">IFERROR(__xludf.DUMMYFUNCTION("""COMPUTED_VALUE"""),"Blaze")</f>
        <v>Blaze</v>
      </c>
      <c r="T216" s="24" t="str">
        <f ca="1">IFERROR(__xludf.DUMMYFUNCTION("""COMPUTED_VALUE"""),"Flash Fire")</f>
        <v>Flash Fire</v>
      </c>
      <c r="U216" s="24" t="str">
        <f ca="1">IFERROR(__xludf.DUMMYFUNCTION("""COMPUTED_VALUE"""),"Stamina")</f>
        <v>Stamina</v>
      </c>
      <c r="V216" s="25" t="str">
        <f ca="1">IFERROR(__xludf.DUMMYFUNCTION("""COMPUTED_VALUE"""),"Lv. 14")</f>
        <v>Lv. 14</v>
      </c>
      <c r="W216" s="25"/>
      <c r="X216" s="25"/>
      <c r="Y216" s="25" t="str">
        <f ca="1">IFERROR(__xludf.DUMMYFUNCTION("""COMPUTED_VALUE"""),"Cyndaquil (evolve)")</f>
        <v>Cyndaquil (evolve)</v>
      </c>
    </row>
    <row r="217" spans="1:25" x14ac:dyDescent="0.25">
      <c r="A217" s="15" t="str">
        <f ca="1">IFERROR(__xludf.DUMMYFUNCTION("""COMPUTED_VALUE"""),"Typhlosion")</f>
        <v>Typhlosion</v>
      </c>
      <c r="B217" s="16">
        <f ca="1">IFERROR(__xludf.DUMMYFUNCTION("""COMPUTED_VALUE"""),216)</f>
        <v>216</v>
      </c>
      <c r="C217" s="3" t="str">
        <f ca="1">IFERROR(__xludf.DUMMYFUNCTION("""COMPUTED_VALUE"""),"Fire")</f>
        <v>Fire</v>
      </c>
      <c r="D217" s="3" t="str">
        <f ca="1">IFERROR(__xludf.DUMMYFUNCTION("""COMPUTED_VALUE"""),"Ground")</f>
        <v>Ground</v>
      </c>
      <c r="E217" s="17">
        <f ca="1">IFERROR(__xludf.DUMMYFUNCTION("""COMPUTED_VALUE"""),83)</f>
        <v>83</v>
      </c>
      <c r="F217" s="17">
        <f ca="1">IFERROR(__xludf.DUMMYFUNCTION("""COMPUTED_VALUE"""),5)</f>
        <v>5</v>
      </c>
      <c r="G217" s="18">
        <f ca="1">IFERROR(__xludf.DUMMYFUNCTION("""COMPUTED_VALUE"""),90)</f>
        <v>90</v>
      </c>
      <c r="H217" s="18">
        <f ca="1">IFERROR(__xludf.DUMMYFUNCTION("""COMPUTED_VALUE"""),6)</f>
        <v>6</v>
      </c>
      <c r="I217" s="19">
        <f ca="1">IFERROR(__xludf.DUMMYFUNCTION("""COMPUTED_VALUE"""),88)</f>
        <v>88</v>
      </c>
      <c r="J217" s="19">
        <f ca="1">IFERROR(__xludf.DUMMYFUNCTION("""COMPUTED_VALUE"""),10)</f>
        <v>10</v>
      </c>
      <c r="K217" s="20">
        <f ca="1">IFERROR(__xludf.DUMMYFUNCTION("""COMPUTED_VALUE"""),103)</f>
        <v>103</v>
      </c>
      <c r="L217" s="20">
        <f ca="1">IFERROR(__xludf.DUMMYFUNCTION("""COMPUTED_VALUE"""),-6)</f>
        <v>-6</v>
      </c>
      <c r="M217" s="21">
        <f ca="1">IFERROR(__xludf.DUMMYFUNCTION("""COMPUTED_VALUE"""),95)</f>
        <v>95</v>
      </c>
      <c r="N217" s="21">
        <f ca="1">IFERROR(__xludf.DUMMYFUNCTION("""COMPUTED_VALUE"""),10)</f>
        <v>10</v>
      </c>
      <c r="O217" s="22">
        <f ca="1">IFERROR(__xludf.DUMMYFUNCTION("""COMPUTED_VALUE"""),100)</f>
        <v>100</v>
      </c>
      <c r="P217" s="22">
        <f ca="1">IFERROR(__xludf.DUMMYFUNCTION("""COMPUTED_VALUE"""),0)</f>
        <v>0</v>
      </c>
      <c r="Q217" s="23">
        <f ca="1">IFERROR(__xludf.DUMMYFUNCTION("""COMPUTED_VALUE"""),559)</f>
        <v>559</v>
      </c>
      <c r="R217" s="23">
        <f ca="1">IFERROR(__xludf.DUMMYFUNCTION("""COMPUTED_VALUE"""),25)</f>
        <v>25</v>
      </c>
      <c r="S217" s="24" t="str">
        <f ca="1">IFERROR(__xludf.DUMMYFUNCTION("""COMPUTED_VALUE"""),"Blaze")</f>
        <v>Blaze</v>
      </c>
      <c r="T217" s="24" t="str">
        <f ca="1">IFERROR(__xludf.DUMMYFUNCTION("""COMPUTED_VALUE"""),"Flash Fire")</f>
        <v>Flash Fire</v>
      </c>
      <c r="U217" s="24" t="str">
        <f ca="1">IFERROR(__xludf.DUMMYFUNCTION("""COMPUTED_VALUE"""),"Stamina")</f>
        <v>Stamina</v>
      </c>
      <c r="V217" s="25" t="str">
        <f ca="1">IFERROR(__xludf.DUMMYFUNCTION("""COMPUTED_VALUE"""),"Lv. 36")</f>
        <v>Lv. 36</v>
      </c>
      <c r="W217" s="25"/>
      <c r="X217" s="25"/>
      <c r="Y217" s="25" t="str">
        <f ca="1">IFERROR(__xludf.DUMMYFUNCTION("""COMPUTED_VALUE"""),"Quilava (evolve)")</f>
        <v>Quilava (evolve)</v>
      </c>
    </row>
    <row r="218" spans="1:25" x14ac:dyDescent="0.25">
      <c r="A218" s="15" t="str">
        <f ca="1">IFERROR(__xludf.DUMMYFUNCTION("""COMPUTED_VALUE"""),"Totodile")</f>
        <v>Totodile</v>
      </c>
      <c r="B218" s="16">
        <f ca="1">IFERROR(__xludf.DUMMYFUNCTION("""COMPUTED_VALUE"""),217)</f>
        <v>217</v>
      </c>
      <c r="C218" s="3" t="str">
        <f ca="1">IFERROR(__xludf.DUMMYFUNCTION("""COMPUTED_VALUE"""),"Water")</f>
        <v>Water</v>
      </c>
      <c r="D218" s="3"/>
      <c r="E218" s="17">
        <f ca="1">IFERROR(__xludf.DUMMYFUNCTION("""COMPUTED_VALUE"""),50)</f>
        <v>50</v>
      </c>
      <c r="F218" s="17">
        <f ca="1">IFERROR(__xludf.DUMMYFUNCTION("""COMPUTED_VALUE"""),0)</f>
        <v>0</v>
      </c>
      <c r="G218" s="18">
        <f ca="1">IFERROR(__xludf.DUMMYFUNCTION("""COMPUTED_VALUE"""),70)</f>
        <v>70</v>
      </c>
      <c r="H218" s="18">
        <f ca="1">IFERROR(__xludf.DUMMYFUNCTION("""COMPUTED_VALUE"""),5)</f>
        <v>5</v>
      </c>
      <c r="I218" s="19">
        <f ca="1">IFERROR(__xludf.DUMMYFUNCTION("""COMPUTED_VALUE"""),64)</f>
        <v>64</v>
      </c>
      <c r="J218" s="19">
        <f ca="1">IFERROR(__xludf.DUMMYFUNCTION("""COMPUTED_VALUE"""),0)</f>
        <v>0</v>
      </c>
      <c r="K218" s="20">
        <f ca="1">IFERROR(__xludf.DUMMYFUNCTION("""COMPUTED_VALUE"""),44)</f>
        <v>44</v>
      </c>
      <c r="L218" s="20">
        <f ca="1">IFERROR(__xludf.DUMMYFUNCTION("""COMPUTED_VALUE"""),0)</f>
        <v>0</v>
      </c>
      <c r="M218" s="21">
        <f ca="1">IFERROR(__xludf.DUMMYFUNCTION("""COMPUTED_VALUE"""),48)</f>
        <v>48</v>
      </c>
      <c r="N218" s="21">
        <f ca="1">IFERROR(__xludf.DUMMYFUNCTION("""COMPUTED_VALUE"""),0)</f>
        <v>0</v>
      </c>
      <c r="O218" s="22">
        <f ca="1">IFERROR(__xludf.DUMMYFUNCTION("""COMPUTED_VALUE"""),43)</f>
        <v>43</v>
      </c>
      <c r="P218" s="22">
        <f ca="1">IFERROR(__xludf.DUMMYFUNCTION("""COMPUTED_VALUE"""),0)</f>
        <v>0</v>
      </c>
      <c r="Q218" s="23">
        <f ca="1">IFERROR(__xludf.DUMMYFUNCTION("""COMPUTED_VALUE"""),319)</f>
        <v>319</v>
      </c>
      <c r="R218" s="23">
        <f ca="1">IFERROR(__xludf.DUMMYFUNCTION("""COMPUTED_VALUE"""),5)</f>
        <v>5</v>
      </c>
      <c r="S218" s="24" t="str">
        <f ca="1">IFERROR(__xludf.DUMMYFUNCTION("""COMPUTED_VALUE"""),"Torrent")</f>
        <v>Torrent</v>
      </c>
      <c r="T218" s="24" t="str">
        <f ca="1">IFERROR(__xludf.DUMMYFUNCTION("""COMPUTED_VALUE"""),"Strong Jaw")</f>
        <v>Strong Jaw</v>
      </c>
      <c r="U218" s="24" t="str">
        <f ca="1">IFERROR(__xludf.DUMMYFUNCTION("""COMPUTED_VALUE"""),"Sheer Force")</f>
        <v>Sheer Force</v>
      </c>
      <c r="V218" s="25"/>
      <c r="W218" s="25"/>
      <c r="X218" s="25"/>
      <c r="Y218" s="25"/>
    </row>
    <row r="219" spans="1:25" x14ac:dyDescent="0.25">
      <c r="A219" s="15" t="str">
        <f ca="1">IFERROR(__xludf.DUMMYFUNCTION("""COMPUTED_VALUE"""),"Croconaw")</f>
        <v>Croconaw</v>
      </c>
      <c r="B219" s="16">
        <f ca="1">IFERROR(__xludf.DUMMYFUNCTION("""COMPUTED_VALUE"""),218)</f>
        <v>218</v>
      </c>
      <c r="C219" s="3" t="str">
        <f ca="1">IFERROR(__xludf.DUMMYFUNCTION("""COMPUTED_VALUE"""),"Water")</f>
        <v>Water</v>
      </c>
      <c r="D219" s="3"/>
      <c r="E219" s="17">
        <f ca="1">IFERROR(__xludf.DUMMYFUNCTION("""COMPUTED_VALUE"""),65)</f>
        <v>65</v>
      </c>
      <c r="F219" s="17">
        <f ca="1">IFERROR(__xludf.DUMMYFUNCTION("""COMPUTED_VALUE"""),0)</f>
        <v>0</v>
      </c>
      <c r="G219" s="18">
        <f ca="1">IFERROR(__xludf.DUMMYFUNCTION("""COMPUTED_VALUE"""),90)</f>
        <v>90</v>
      </c>
      <c r="H219" s="18">
        <f ca="1">IFERROR(__xludf.DUMMYFUNCTION("""COMPUTED_VALUE"""),10)</f>
        <v>10</v>
      </c>
      <c r="I219" s="19">
        <f ca="1">IFERROR(__xludf.DUMMYFUNCTION("""COMPUTED_VALUE"""),80)</f>
        <v>80</v>
      </c>
      <c r="J219" s="19">
        <f ca="1">IFERROR(__xludf.DUMMYFUNCTION("""COMPUTED_VALUE"""),0)</f>
        <v>0</v>
      </c>
      <c r="K219" s="20">
        <f ca="1">IFERROR(__xludf.DUMMYFUNCTION("""COMPUTED_VALUE"""),59)</f>
        <v>59</v>
      </c>
      <c r="L219" s="20">
        <f ca="1">IFERROR(__xludf.DUMMYFUNCTION("""COMPUTED_VALUE"""),0)</f>
        <v>0</v>
      </c>
      <c r="M219" s="21">
        <f ca="1">IFERROR(__xludf.DUMMYFUNCTION("""COMPUTED_VALUE"""),63)</f>
        <v>63</v>
      </c>
      <c r="N219" s="21">
        <f ca="1">IFERROR(__xludf.DUMMYFUNCTION("""COMPUTED_VALUE"""),0)</f>
        <v>0</v>
      </c>
      <c r="O219" s="22">
        <f ca="1">IFERROR(__xludf.DUMMYFUNCTION("""COMPUTED_VALUE"""),58)</f>
        <v>58</v>
      </c>
      <c r="P219" s="22">
        <f ca="1">IFERROR(__xludf.DUMMYFUNCTION("""COMPUTED_VALUE"""),0)</f>
        <v>0</v>
      </c>
      <c r="Q219" s="23">
        <f ca="1">IFERROR(__xludf.DUMMYFUNCTION("""COMPUTED_VALUE"""),415)</f>
        <v>415</v>
      </c>
      <c r="R219" s="23">
        <f ca="1">IFERROR(__xludf.DUMMYFUNCTION("""COMPUTED_VALUE"""),10)</f>
        <v>10</v>
      </c>
      <c r="S219" s="24" t="str">
        <f ca="1">IFERROR(__xludf.DUMMYFUNCTION("""COMPUTED_VALUE"""),"Torrent")</f>
        <v>Torrent</v>
      </c>
      <c r="T219" s="24" t="str">
        <f ca="1">IFERROR(__xludf.DUMMYFUNCTION("""COMPUTED_VALUE"""),"Strong Jaw")</f>
        <v>Strong Jaw</v>
      </c>
      <c r="U219" s="24" t="str">
        <f ca="1">IFERROR(__xludf.DUMMYFUNCTION("""COMPUTED_VALUE"""),"Sheer Force")</f>
        <v>Sheer Force</v>
      </c>
      <c r="V219" s="25" t="str">
        <f ca="1">IFERROR(__xludf.DUMMYFUNCTION("""COMPUTED_VALUE"""),"Lv. 18")</f>
        <v>Lv. 18</v>
      </c>
      <c r="W219" s="25"/>
      <c r="X219" s="25"/>
      <c r="Y219" s="25" t="str">
        <f ca="1">IFERROR(__xludf.DUMMYFUNCTION("""COMPUTED_VALUE"""),"Totodile (evolve)")</f>
        <v>Totodile (evolve)</v>
      </c>
    </row>
    <row r="220" spans="1:25" x14ac:dyDescent="0.25">
      <c r="A220" s="15" t="str">
        <f ca="1">IFERROR(__xludf.DUMMYFUNCTION("""COMPUTED_VALUE"""),"Feraligatr")</f>
        <v>Feraligatr</v>
      </c>
      <c r="B220" s="16">
        <f ca="1">IFERROR(__xludf.DUMMYFUNCTION("""COMPUTED_VALUE"""),219)</f>
        <v>219</v>
      </c>
      <c r="C220" s="3" t="str">
        <f ca="1">IFERROR(__xludf.DUMMYFUNCTION("""COMPUTED_VALUE"""),"Water")</f>
        <v>Water</v>
      </c>
      <c r="D220" s="3" t="str">
        <f ca="1">IFERROR(__xludf.DUMMYFUNCTION("""COMPUTED_VALUE"""),"Dark")</f>
        <v>Dark</v>
      </c>
      <c r="E220" s="17">
        <f ca="1">IFERROR(__xludf.DUMMYFUNCTION("""COMPUTED_VALUE"""),90)</f>
        <v>90</v>
      </c>
      <c r="F220" s="17">
        <f ca="1">IFERROR(__xludf.DUMMYFUNCTION("""COMPUTED_VALUE"""),5)</f>
        <v>5</v>
      </c>
      <c r="G220" s="18">
        <f ca="1">IFERROR(__xludf.DUMMYFUNCTION("""COMPUTED_VALUE"""),121)</f>
        <v>121</v>
      </c>
      <c r="H220" s="18">
        <f ca="1">IFERROR(__xludf.DUMMYFUNCTION("""COMPUTED_VALUE"""),16)</f>
        <v>16</v>
      </c>
      <c r="I220" s="19">
        <f ca="1">IFERROR(__xludf.DUMMYFUNCTION("""COMPUTED_VALUE"""),100)</f>
        <v>100</v>
      </c>
      <c r="J220" s="19">
        <f ca="1">IFERROR(__xludf.DUMMYFUNCTION("""COMPUTED_VALUE"""),0)</f>
        <v>0</v>
      </c>
      <c r="K220" s="20">
        <f ca="1">IFERROR(__xludf.DUMMYFUNCTION("""COMPUTED_VALUE"""),79)</f>
        <v>79</v>
      </c>
      <c r="L220" s="20">
        <f ca="1">IFERROR(__xludf.DUMMYFUNCTION("""COMPUTED_VALUE"""),0)</f>
        <v>0</v>
      </c>
      <c r="M220" s="21">
        <f ca="1">IFERROR(__xludf.DUMMYFUNCTION("""COMPUTED_VALUE"""),88)</f>
        <v>88</v>
      </c>
      <c r="N220" s="21">
        <f ca="1">IFERROR(__xludf.DUMMYFUNCTION("""COMPUTED_VALUE"""),5)</f>
        <v>5</v>
      </c>
      <c r="O220" s="22">
        <f ca="1">IFERROR(__xludf.DUMMYFUNCTION("""COMPUTED_VALUE"""),72)</f>
        <v>72</v>
      </c>
      <c r="P220" s="22">
        <f ca="1">IFERROR(__xludf.DUMMYFUNCTION("""COMPUTED_VALUE"""),-6)</f>
        <v>-6</v>
      </c>
      <c r="Q220" s="23">
        <f ca="1">IFERROR(__xludf.DUMMYFUNCTION("""COMPUTED_VALUE"""),550)</f>
        <v>550</v>
      </c>
      <c r="R220" s="23">
        <f ca="1">IFERROR(__xludf.DUMMYFUNCTION("""COMPUTED_VALUE"""),20)</f>
        <v>20</v>
      </c>
      <c r="S220" s="24" t="str">
        <f ca="1">IFERROR(__xludf.DUMMYFUNCTION("""COMPUTED_VALUE"""),"Torrent")</f>
        <v>Torrent</v>
      </c>
      <c r="T220" s="24" t="str">
        <f ca="1">IFERROR(__xludf.DUMMYFUNCTION("""COMPUTED_VALUE"""),"Strong Jaw")</f>
        <v>Strong Jaw</v>
      </c>
      <c r="U220" s="24" t="str">
        <f ca="1">IFERROR(__xludf.DUMMYFUNCTION("""COMPUTED_VALUE"""),"Sheer Force")</f>
        <v>Sheer Force</v>
      </c>
      <c r="V220" s="25" t="str">
        <f ca="1">IFERROR(__xludf.DUMMYFUNCTION("""COMPUTED_VALUE"""),"Lv. 30")</f>
        <v>Lv. 30</v>
      </c>
      <c r="W220" s="25"/>
      <c r="X220" s="25"/>
      <c r="Y220" s="25" t="str">
        <f ca="1">IFERROR(__xludf.DUMMYFUNCTION("""COMPUTED_VALUE"""),"Croconaw (evolve)")</f>
        <v>Croconaw (evolve)</v>
      </c>
    </row>
    <row r="221" spans="1:25" x14ac:dyDescent="0.25">
      <c r="A221" s="15" t="str">
        <f ca="1">IFERROR(__xludf.DUMMYFUNCTION("""COMPUTED_VALUE"""),"Jangmo-o")</f>
        <v>Jangmo-o</v>
      </c>
      <c r="B221" s="16">
        <f ca="1">IFERROR(__xludf.DUMMYFUNCTION("""COMPUTED_VALUE"""),220)</f>
        <v>220</v>
      </c>
      <c r="C221" s="3" t="str">
        <f ca="1">IFERROR(__xludf.DUMMYFUNCTION("""COMPUTED_VALUE"""),"Dragon")</f>
        <v>Dragon</v>
      </c>
      <c r="D221" s="3"/>
      <c r="E221" s="17">
        <f ca="1">IFERROR(__xludf.DUMMYFUNCTION("""COMPUTED_VALUE"""),45)</f>
        <v>45</v>
      </c>
      <c r="F221" s="17">
        <f ca="1">IFERROR(__xludf.DUMMYFUNCTION("""COMPUTED_VALUE"""),0)</f>
        <v>0</v>
      </c>
      <c r="G221" s="18">
        <f ca="1">IFERROR(__xludf.DUMMYFUNCTION("""COMPUTED_VALUE"""),55)</f>
        <v>55</v>
      </c>
      <c r="H221" s="18">
        <f ca="1">IFERROR(__xludf.DUMMYFUNCTION("""COMPUTED_VALUE"""),0)</f>
        <v>0</v>
      </c>
      <c r="I221" s="19">
        <f ca="1">IFERROR(__xludf.DUMMYFUNCTION("""COMPUTED_VALUE"""),65)</f>
        <v>65</v>
      </c>
      <c r="J221" s="19">
        <f ca="1">IFERROR(__xludf.DUMMYFUNCTION("""COMPUTED_VALUE"""),0)</f>
        <v>0</v>
      </c>
      <c r="K221" s="20">
        <f ca="1">IFERROR(__xludf.DUMMYFUNCTION("""COMPUTED_VALUE"""),45)</f>
        <v>45</v>
      </c>
      <c r="L221" s="20">
        <f ca="1">IFERROR(__xludf.DUMMYFUNCTION("""COMPUTED_VALUE"""),0)</f>
        <v>0</v>
      </c>
      <c r="M221" s="21">
        <f ca="1">IFERROR(__xludf.DUMMYFUNCTION("""COMPUTED_VALUE"""),55)</f>
        <v>55</v>
      </c>
      <c r="N221" s="21">
        <f ca="1">IFERROR(__xludf.DUMMYFUNCTION("""COMPUTED_VALUE"""),10)</f>
        <v>10</v>
      </c>
      <c r="O221" s="22">
        <f ca="1">IFERROR(__xludf.DUMMYFUNCTION("""COMPUTED_VALUE"""),45)</f>
        <v>45</v>
      </c>
      <c r="P221" s="22">
        <f ca="1">IFERROR(__xludf.DUMMYFUNCTION("""COMPUTED_VALUE"""),0)</f>
        <v>0</v>
      </c>
      <c r="Q221" s="23">
        <f ca="1">IFERROR(__xludf.DUMMYFUNCTION("""COMPUTED_VALUE"""),310)</f>
        <v>310</v>
      </c>
      <c r="R221" s="23">
        <f ca="1">IFERROR(__xludf.DUMMYFUNCTION("""COMPUTED_VALUE"""),10)</f>
        <v>10</v>
      </c>
      <c r="S221" s="25" t="str">
        <f ca="1">IFERROR(__xludf.DUMMYFUNCTION("""COMPUTED_VALUE"""),"Bulletproof")</f>
        <v>Bulletproof</v>
      </c>
      <c r="T221" s="25" t="str">
        <f ca="1">IFERROR(__xludf.DUMMYFUNCTION("""COMPUTED_VALUE"""),"Overcoat")</f>
        <v>Overcoat</v>
      </c>
      <c r="U221" s="25" t="str">
        <f ca="1">IFERROR(__xludf.DUMMYFUNCTION("""COMPUTED_VALUE"""),"Rough Skin")</f>
        <v>Rough Skin</v>
      </c>
      <c r="V221" s="25"/>
      <c r="W221" s="25"/>
      <c r="X221" s="25" t="str">
        <f ca="1">IFERROR(__xludf.DUMMYFUNCTION("""COMPUTED_VALUE"""),"Razor Claw")</f>
        <v>Razor Claw</v>
      </c>
      <c r="Y221" s="25"/>
    </row>
    <row r="222" spans="1:25" x14ac:dyDescent="0.25">
      <c r="A222" s="15" t="str">
        <f ca="1">IFERROR(__xludf.DUMMYFUNCTION("""COMPUTED_VALUE"""),"Hakamo-o")</f>
        <v>Hakamo-o</v>
      </c>
      <c r="B222" s="16">
        <f ca="1">IFERROR(__xludf.DUMMYFUNCTION("""COMPUTED_VALUE"""),221)</f>
        <v>221</v>
      </c>
      <c r="C222" s="3" t="str">
        <f ca="1">IFERROR(__xludf.DUMMYFUNCTION("""COMPUTED_VALUE"""),"Dragon")</f>
        <v>Dragon</v>
      </c>
      <c r="D222" s="3" t="str">
        <f ca="1">IFERROR(__xludf.DUMMYFUNCTION("""COMPUTED_VALUE"""),"Fighting")</f>
        <v>Fighting</v>
      </c>
      <c r="E222" s="17">
        <f ca="1">IFERROR(__xludf.DUMMYFUNCTION("""COMPUTED_VALUE"""),65)</f>
        <v>65</v>
      </c>
      <c r="F222" s="17">
        <f ca="1">IFERROR(__xludf.DUMMYFUNCTION("""COMPUTED_VALUE"""),10)</f>
        <v>10</v>
      </c>
      <c r="G222" s="18">
        <f ca="1">IFERROR(__xludf.DUMMYFUNCTION("""COMPUTED_VALUE"""),75)</f>
        <v>75</v>
      </c>
      <c r="H222" s="18">
        <f ca="1">IFERROR(__xludf.DUMMYFUNCTION("""COMPUTED_VALUE"""),0)</f>
        <v>0</v>
      </c>
      <c r="I222" s="19">
        <f ca="1">IFERROR(__xludf.DUMMYFUNCTION("""COMPUTED_VALUE"""),90)</f>
        <v>90</v>
      </c>
      <c r="J222" s="19">
        <f ca="1">IFERROR(__xludf.DUMMYFUNCTION("""COMPUTED_VALUE"""),0)</f>
        <v>0</v>
      </c>
      <c r="K222" s="20">
        <f ca="1">IFERROR(__xludf.DUMMYFUNCTION("""COMPUTED_VALUE"""),65)</f>
        <v>65</v>
      </c>
      <c r="L222" s="20">
        <f ca="1">IFERROR(__xludf.DUMMYFUNCTION("""COMPUTED_VALUE"""),0)</f>
        <v>0</v>
      </c>
      <c r="M222" s="21">
        <f ca="1">IFERROR(__xludf.DUMMYFUNCTION("""COMPUTED_VALUE"""),70)</f>
        <v>70</v>
      </c>
      <c r="N222" s="21">
        <f ca="1">IFERROR(__xludf.DUMMYFUNCTION("""COMPUTED_VALUE"""),0)</f>
        <v>0</v>
      </c>
      <c r="O222" s="22">
        <f ca="1">IFERROR(__xludf.DUMMYFUNCTION("""COMPUTED_VALUE"""),65)</f>
        <v>65</v>
      </c>
      <c r="P222" s="22">
        <f ca="1">IFERROR(__xludf.DUMMYFUNCTION("""COMPUTED_VALUE"""),0)</f>
        <v>0</v>
      </c>
      <c r="Q222" s="23">
        <f ca="1">IFERROR(__xludf.DUMMYFUNCTION("""COMPUTED_VALUE"""),430)</f>
        <v>430</v>
      </c>
      <c r="R222" s="23">
        <f ca="1">IFERROR(__xludf.DUMMYFUNCTION("""COMPUTED_VALUE"""),10)</f>
        <v>10</v>
      </c>
      <c r="S222" s="25" t="str">
        <f ca="1">IFERROR(__xludf.DUMMYFUNCTION("""COMPUTED_VALUE"""),"Bulletproof")</f>
        <v>Bulletproof</v>
      </c>
      <c r="T222" s="25" t="str">
        <f ca="1">IFERROR(__xludf.DUMMYFUNCTION("""COMPUTED_VALUE"""),"Overcoat")</f>
        <v>Overcoat</v>
      </c>
      <c r="U222" s="25" t="str">
        <f ca="1">IFERROR(__xludf.DUMMYFUNCTION("""COMPUTED_VALUE"""),"Rough Skin")</f>
        <v>Rough Skin</v>
      </c>
      <c r="V222" s="25" t="str">
        <f ca="1">IFERROR(__xludf.DUMMYFUNCTION("""COMPUTED_VALUE"""),"Lv. 24")</f>
        <v>Lv. 24</v>
      </c>
      <c r="W222" s="25"/>
      <c r="X222" s="25" t="str">
        <f ca="1">IFERROR(__xludf.DUMMYFUNCTION("""COMPUTED_VALUE"""),"Razor Claw")</f>
        <v>Razor Claw</v>
      </c>
      <c r="Y222" s="25"/>
    </row>
    <row r="223" spans="1:25" x14ac:dyDescent="0.25">
      <c r="A223" s="15" t="str">
        <f ca="1">IFERROR(__xludf.DUMMYFUNCTION("""COMPUTED_VALUE"""),"Kommo-o")</f>
        <v>Kommo-o</v>
      </c>
      <c r="B223" s="16">
        <f ca="1">IFERROR(__xludf.DUMMYFUNCTION("""COMPUTED_VALUE"""),222)</f>
        <v>222</v>
      </c>
      <c r="C223" s="3" t="str">
        <f ca="1">IFERROR(__xludf.DUMMYFUNCTION("""COMPUTED_VALUE"""),"Dragon")</f>
        <v>Dragon</v>
      </c>
      <c r="D223" s="3" t="str">
        <f ca="1">IFERROR(__xludf.DUMMYFUNCTION("""COMPUTED_VALUE"""),"Fighting")</f>
        <v>Fighting</v>
      </c>
      <c r="E223" s="17">
        <f ca="1">IFERROR(__xludf.DUMMYFUNCTION("""COMPUTED_VALUE"""),85)</f>
        <v>85</v>
      </c>
      <c r="F223" s="17">
        <f ca="1">IFERROR(__xludf.DUMMYFUNCTION("""COMPUTED_VALUE"""),10)</f>
        <v>10</v>
      </c>
      <c r="G223" s="18">
        <f ca="1">IFERROR(__xludf.DUMMYFUNCTION("""COMPUTED_VALUE"""),110)</f>
        <v>110</v>
      </c>
      <c r="H223" s="18">
        <f ca="1">IFERROR(__xludf.DUMMYFUNCTION("""COMPUTED_VALUE"""),0)</f>
        <v>0</v>
      </c>
      <c r="I223" s="19">
        <f ca="1">IFERROR(__xludf.DUMMYFUNCTION("""COMPUTED_VALUE"""),125)</f>
        <v>125</v>
      </c>
      <c r="J223" s="19">
        <f ca="1">IFERROR(__xludf.DUMMYFUNCTION("""COMPUTED_VALUE"""),0)</f>
        <v>0</v>
      </c>
      <c r="K223" s="20">
        <f ca="1">IFERROR(__xludf.DUMMYFUNCTION("""COMPUTED_VALUE"""),100)</f>
        <v>100</v>
      </c>
      <c r="L223" s="20">
        <f ca="1">IFERROR(__xludf.DUMMYFUNCTION("""COMPUTED_VALUE"""),0)</f>
        <v>0</v>
      </c>
      <c r="M223" s="21">
        <f ca="1">IFERROR(__xludf.DUMMYFUNCTION("""COMPUTED_VALUE"""),105)</f>
        <v>105</v>
      </c>
      <c r="N223" s="21">
        <f ca="1">IFERROR(__xludf.DUMMYFUNCTION("""COMPUTED_VALUE"""),0)</f>
        <v>0</v>
      </c>
      <c r="O223" s="22">
        <f ca="1">IFERROR(__xludf.DUMMYFUNCTION("""COMPUTED_VALUE"""),85)</f>
        <v>85</v>
      </c>
      <c r="P223" s="22">
        <f ca="1">IFERROR(__xludf.DUMMYFUNCTION("""COMPUTED_VALUE"""),0)</f>
        <v>0</v>
      </c>
      <c r="Q223" s="23">
        <f ca="1">IFERROR(__xludf.DUMMYFUNCTION("""COMPUTED_VALUE"""),610)</f>
        <v>610</v>
      </c>
      <c r="R223" s="23">
        <f ca="1">IFERROR(__xludf.DUMMYFUNCTION("""COMPUTED_VALUE"""),10)</f>
        <v>10</v>
      </c>
      <c r="S223" s="25" t="str">
        <f ca="1">IFERROR(__xludf.DUMMYFUNCTION("""COMPUTED_VALUE"""),"Bulletproof")</f>
        <v>Bulletproof</v>
      </c>
      <c r="T223" s="25" t="str">
        <f ca="1">IFERROR(__xludf.DUMMYFUNCTION("""COMPUTED_VALUE"""),"Overcoat")</f>
        <v>Overcoat</v>
      </c>
      <c r="U223" s="25" t="str">
        <f ca="1">IFERROR(__xludf.DUMMYFUNCTION("""COMPUTED_VALUE"""),"Rough Skin")</f>
        <v>Rough Skin</v>
      </c>
      <c r="V223" s="25" t="str">
        <f ca="1">IFERROR(__xludf.DUMMYFUNCTION("""COMPUTED_VALUE"""),"Lv. 45")</f>
        <v>Lv. 45</v>
      </c>
      <c r="W223" s="25" t="str">
        <f ca="1">IFERROR(__xludf.DUMMYFUNCTION("""COMPUTED_VALUE"""),"Razor Claw")</f>
        <v>Razor Claw</v>
      </c>
      <c r="X223" s="25"/>
      <c r="Y223" s="25"/>
    </row>
    <row r="224" spans="1:25" x14ac:dyDescent="0.25">
      <c r="A224" s="15" t="str">
        <f ca="1">IFERROR(__xludf.DUMMYFUNCTION("""COMPUTED_VALUE"""),"Hawlucha")</f>
        <v>Hawlucha</v>
      </c>
      <c r="B224" s="16">
        <f ca="1">IFERROR(__xludf.DUMMYFUNCTION("""COMPUTED_VALUE"""),223)</f>
        <v>223</v>
      </c>
      <c r="C224" s="3" t="str">
        <f ca="1">IFERROR(__xludf.DUMMYFUNCTION("""COMPUTED_VALUE"""),"Fighting")</f>
        <v>Fighting</v>
      </c>
      <c r="D224" s="3" t="str">
        <f ca="1">IFERROR(__xludf.DUMMYFUNCTION("""COMPUTED_VALUE"""),"Flying")</f>
        <v>Flying</v>
      </c>
      <c r="E224" s="17">
        <f ca="1">IFERROR(__xludf.DUMMYFUNCTION("""COMPUTED_VALUE"""),78)</f>
        <v>78</v>
      </c>
      <c r="F224" s="17">
        <f ca="1">IFERROR(__xludf.DUMMYFUNCTION("""COMPUTED_VALUE"""),0)</f>
        <v>0</v>
      </c>
      <c r="G224" s="18">
        <f ca="1">IFERROR(__xludf.DUMMYFUNCTION("""COMPUTED_VALUE"""),92)</f>
        <v>92</v>
      </c>
      <c r="H224" s="18">
        <f ca="1">IFERROR(__xludf.DUMMYFUNCTION("""COMPUTED_VALUE"""),0)</f>
        <v>0</v>
      </c>
      <c r="I224" s="19">
        <f ca="1">IFERROR(__xludf.DUMMYFUNCTION("""COMPUTED_VALUE"""),75)</f>
        <v>75</v>
      </c>
      <c r="J224" s="19">
        <f ca="1">IFERROR(__xludf.DUMMYFUNCTION("""COMPUTED_VALUE"""),0)</f>
        <v>0</v>
      </c>
      <c r="K224" s="20">
        <f ca="1">IFERROR(__xludf.DUMMYFUNCTION("""COMPUTED_VALUE"""),74)</f>
        <v>74</v>
      </c>
      <c r="L224" s="20">
        <f ca="1">IFERROR(__xludf.DUMMYFUNCTION("""COMPUTED_VALUE"""),0)</f>
        <v>0</v>
      </c>
      <c r="M224" s="21">
        <f ca="1">IFERROR(__xludf.DUMMYFUNCTION("""COMPUTED_VALUE"""),63)</f>
        <v>63</v>
      </c>
      <c r="N224" s="21">
        <f ca="1">IFERROR(__xludf.DUMMYFUNCTION("""COMPUTED_VALUE"""),0)</f>
        <v>0</v>
      </c>
      <c r="O224" s="22">
        <f ca="1">IFERROR(__xludf.DUMMYFUNCTION("""COMPUTED_VALUE"""),118)</f>
        <v>118</v>
      </c>
      <c r="P224" s="22">
        <f ca="1">IFERROR(__xludf.DUMMYFUNCTION("""COMPUTED_VALUE"""),0)</f>
        <v>0</v>
      </c>
      <c r="Q224" s="23">
        <f ca="1">IFERROR(__xludf.DUMMYFUNCTION("""COMPUTED_VALUE"""),500)</f>
        <v>500</v>
      </c>
      <c r="R224" s="23">
        <f ca="1">IFERROR(__xludf.DUMMYFUNCTION("""COMPUTED_VALUE"""),0)</f>
        <v>0</v>
      </c>
      <c r="S224" s="25" t="str">
        <f ca="1">IFERROR(__xludf.DUMMYFUNCTION("""COMPUTED_VALUE"""),"Limber")</f>
        <v>Limber</v>
      </c>
      <c r="T224" s="25" t="str">
        <f ca="1">IFERROR(__xludf.DUMMYFUNCTION("""COMPUTED_VALUE"""),"Unburden")</f>
        <v>Unburden</v>
      </c>
      <c r="U224" s="25" t="str">
        <f ca="1">IFERROR(__xludf.DUMMYFUNCTION("""COMPUTED_VALUE"""),"Mold Breaker")</f>
        <v>Mold Breaker</v>
      </c>
      <c r="V224" s="25"/>
      <c r="W224" s="25"/>
      <c r="X224" s="25" t="str">
        <f ca="1">IFERROR(__xludf.DUMMYFUNCTION("""COMPUTED_VALUE"""),"King`s Rock")</f>
        <v>King`s Rock</v>
      </c>
      <c r="Y224" s="25"/>
    </row>
    <row r="225" spans="1:25" x14ac:dyDescent="0.25">
      <c r="A225" s="15" t="str">
        <f ca="1">IFERROR(__xludf.DUMMYFUNCTION("""COMPUTED_VALUE"""),"Sizzlipede")</f>
        <v>Sizzlipede</v>
      </c>
      <c r="B225" s="16">
        <f ca="1">IFERROR(__xludf.DUMMYFUNCTION("""COMPUTED_VALUE"""),224)</f>
        <v>224</v>
      </c>
      <c r="C225" s="3" t="str">
        <f ca="1">IFERROR(__xludf.DUMMYFUNCTION("""COMPUTED_VALUE"""),"Fire")</f>
        <v>Fire</v>
      </c>
      <c r="D225" s="3" t="str">
        <f ca="1">IFERROR(__xludf.DUMMYFUNCTION("""COMPUTED_VALUE"""),"Bug")</f>
        <v>Bug</v>
      </c>
      <c r="E225" s="17">
        <f ca="1">IFERROR(__xludf.DUMMYFUNCTION("""COMPUTED_VALUE"""),50)</f>
        <v>50</v>
      </c>
      <c r="F225" s="17">
        <f ca="1">IFERROR(__xludf.DUMMYFUNCTION("""COMPUTED_VALUE"""),0)</f>
        <v>0</v>
      </c>
      <c r="G225" s="18">
        <f ca="1">IFERROR(__xludf.DUMMYFUNCTION("""COMPUTED_VALUE"""),65)</f>
        <v>65</v>
      </c>
      <c r="H225" s="18">
        <f ca="1">IFERROR(__xludf.DUMMYFUNCTION("""COMPUTED_VALUE"""),0)</f>
        <v>0</v>
      </c>
      <c r="I225" s="19">
        <f ca="1">IFERROR(__xludf.DUMMYFUNCTION("""COMPUTED_VALUE"""),45)</f>
        <v>45</v>
      </c>
      <c r="J225" s="19">
        <f ca="1">IFERROR(__xludf.DUMMYFUNCTION("""COMPUTED_VALUE"""),0)</f>
        <v>0</v>
      </c>
      <c r="K225" s="20">
        <f ca="1">IFERROR(__xludf.DUMMYFUNCTION("""COMPUTED_VALUE"""),50)</f>
        <v>50</v>
      </c>
      <c r="L225" s="20">
        <f ca="1">IFERROR(__xludf.DUMMYFUNCTION("""COMPUTED_VALUE"""),0)</f>
        <v>0</v>
      </c>
      <c r="M225" s="21">
        <f ca="1">IFERROR(__xludf.DUMMYFUNCTION("""COMPUTED_VALUE"""),50)</f>
        <v>50</v>
      </c>
      <c r="N225" s="21">
        <f ca="1">IFERROR(__xludf.DUMMYFUNCTION("""COMPUTED_VALUE"""),0)</f>
        <v>0</v>
      </c>
      <c r="O225" s="22">
        <f ca="1">IFERROR(__xludf.DUMMYFUNCTION("""COMPUTED_VALUE"""),45)</f>
        <v>45</v>
      </c>
      <c r="P225" s="22">
        <f ca="1">IFERROR(__xludf.DUMMYFUNCTION("""COMPUTED_VALUE"""),0)</f>
        <v>0</v>
      </c>
      <c r="Q225" s="23">
        <f ca="1">IFERROR(__xludf.DUMMYFUNCTION("""COMPUTED_VALUE"""),305)</f>
        <v>305</v>
      </c>
      <c r="R225" s="23">
        <f ca="1">IFERROR(__xludf.DUMMYFUNCTION("""COMPUTED_VALUE"""),0)</f>
        <v>0</v>
      </c>
      <c r="S225" s="25" t="str">
        <f ca="1">IFERROR(__xludf.DUMMYFUNCTION("""COMPUTED_VALUE"""),"Flash Fire")</f>
        <v>Flash Fire</v>
      </c>
      <c r="T225" s="25" t="str">
        <f ca="1">IFERROR(__xludf.DUMMYFUNCTION("""COMPUTED_VALUE"""),"White Smoke")</f>
        <v>White Smoke</v>
      </c>
      <c r="U225" s="25" t="str">
        <f ca="1">IFERROR(__xludf.DUMMYFUNCTION("""COMPUTED_VALUE"""),"Flame Body")</f>
        <v>Flame Body</v>
      </c>
      <c r="V225" s="25"/>
      <c r="W225" s="25"/>
      <c r="X225" s="25"/>
      <c r="Y225" s="25"/>
    </row>
    <row r="226" spans="1:25" x14ac:dyDescent="0.25">
      <c r="A226" s="15" t="str">
        <f ca="1">IFERROR(__xludf.DUMMYFUNCTION("""COMPUTED_VALUE"""),"Centiskorch")</f>
        <v>Centiskorch</v>
      </c>
      <c r="B226" s="16">
        <f ca="1">IFERROR(__xludf.DUMMYFUNCTION("""COMPUTED_VALUE"""),225)</f>
        <v>225</v>
      </c>
      <c r="C226" s="3" t="str">
        <f ca="1">IFERROR(__xludf.DUMMYFUNCTION("""COMPUTED_VALUE"""),"Fire")</f>
        <v>Fire</v>
      </c>
      <c r="D226" s="3" t="str">
        <f ca="1">IFERROR(__xludf.DUMMYFUNCTION("""COMPUTED_VALUE"""),"Bug")</f>
        <v>Bug</v>
      </c>
      <c r="E226" s="17">
        <f ca="1">IFERROR(__xludf.DUMMYFUNCTION("""COMPUTED_VALUE"""),105)</f>
        <v>105</v>
      </c>
      <c r="F226" s="17">
        <f ca="1">IFERROR(__xludf.DUMMYFUNCTION("""COMPUTED_VALUE"""),5)</f>
        <v>5</v>
      </c>
      <c r="G226" s="18">
        <f ca="1">IFERROR(__xludf.DUMMYFUNCTION("""COMPUTED_VALUE"""),115)</f>
        <v>115</v>
      </c>
      <c r="H226" s="18">
        <f ca="1">IFERROR(__xludf.DUMMYFUNCTION("""COMPUTED_VALUE"""),0)</f>
        <v>0</v>
      </c>
      <c r="I226" s="19">
        <f ca="1">IFERROR(__xludf.DUMMYFUNCTION("""COMPUTED_VALUE"""),70)</f>
        <v>70</v>
      </c>
      <c r="J226" s="19">
        <f ca="1">IFERROR(__xludf.DUMMYFUNCTION("""COMPUTED_VALUE"""),5)</f>
        <v>5</v>
      </c>
      <c r="K226" s="20">
        <f ca="1">IFERROR(__xludf.DUMMYFUNCTION("""COMPUTED_VALUE"""),85)</f>
        <v>85</v>
      </c>
      <c r="L226" s="20">
        <f ca="1">IFERROR(__xludf.DUMMYFUNCTION("""COMPUTED_VALUE"""),-5)</f>
        <v>-5</v>
      </c>
      <c r="M226" s="21">
        <f ca="1">IFERROR(__xludf.DUMMYFUNCTION("""COMPUTED_VALUE"""),90)</f>
        <v>90</v>
      </c>
      <c r="N226" s="21">
        <f ca="1">IFERROR(__xludf.DUMMYFUNCTION("""COMPUTED_VALUE"""),0)</f>
        <v>0</v>
      </c>
      <c r="O226" s="22">
        <f ca="1">IFERROR(__xludf.DUMMYFUNCTION("""COMPUTED_VALUE"""),60)</f>
        <v>60</v>
      </c>
      <c r="P226" s="22">
        <f ca="1">IFERROR(__xludf.DUMMYFUNCTION("""COMPUTED_VALUE"""),-5)</f>
        <v>-5</v>
      </c>
      <c r="Q226" s="23">
        <f ca="1">IFERROR(__xludf.DUMMYFUNCTION("""COMPUTED_VALUE"""),525)</f>
        <v>525</v>
      </c>
      <c r="R226" s="23">
        <f ca="1">IFERROR(__xludf.DUMMYFUNCTION("""COMPUTED_VALUE"""),0)</f>
        <v>0</v>
      </c>
      <c r="S226" s="25" t="str">
        <f ca="1">IFERROR(__xludf.DUMMYFUNCTION("""COMPUTED_VALUE"""),"Flash Fire")</f>
        <v>Flash Fire</v>
      </c>
      <c r="T226" s="25" t="str">
        <f ca="1">IFERROR(__xludf.DUMMYFUNCTION("""COMPUTED_VALUE"""),"White Smoke")</f>
        <v>White Smoke</v>
      </c>
      <c r="U226" s="25" t="str">
        <f ca="1">IFERROR(__xludf.DUMMYFUNCTION("""COMPUTED_VALUE"""),"Flame Body")</f>
        <v>Flame Body</v>
      </c>
      <c r="V226" s="25" t="str">
        <f ca="1">IFERROR(__xludf.DUMMYFUNCTION("""COMPUTED_VALUE"""),"Lv. 28")</f>
        <v>Lv. 28</v>
      </c>
      <c r="W226" s="25"/>
      <c r="X226" s="25"/>
      <c r="Y226" s="25"/>
    </row>
    <row r="227" spans="1:25" x14ac:dyDescent="0.25">
      <c r="A227" s="15" t="str">
        <f ca="1">IFERROR(__xludf.DUMMYFUNCTION("""COMPUTED_VALUE"""),"Cranidos")</f>
        <v>Cranidos</v>
      </c>
      <c r="B227" s="16">
        <f ca="1">IFERROR(__xludf.DUMMYFUNCTION("""COMPUTED_VALUE"""),226)</f>
        <v>226</v>
      </c>
      <c r="C227" s="3" t="str">
        <f ca="1">IFERROR(__xludf.DUMMYFUNCTION("""COMPUTED_VALUE"""),"Rock")</f>
        <v>Rock</v>
      </c>
      <c r="D227" s="3"/>
      <c r="E227" s="17">
        <f ca="1">IFERROR(__xludf.DUMMYFUNCTION("""COMPUTED_VALUE"""),67)</f>
        <v>67</v>
      </c>
      <c r="F227" s="17">
        <f ca="1">IFERROR(__xludf.DUMMYFUNCTION("""COMPUTED_VALUE"""),0)</f>
        <v>0</v>
      </c>
      <c r="G227" s="18">
        <f ca="1">IFERROR(__xludf.DUMMYFUNCTION("""COMPUTED_VALUE"""),125)</f>
        <v>125</v>
      </c>
      <c r="H227" s="18">
        <f ca="1">IFERROR(__xludf.DUMMYFUNCTION("""COMPUTED_VALUE"""),0)</f>
        <v>0</v>
      </c>
      <c r="I227" s="19">
        <f ca="1">IFERROR(__xludf.DUMMYFUNCTION("""COMPUTED_VALUE"""),40)</f>
        <v>40</v>
      </c>
      <c r="J227" s="19">
        <f ca="1">IFERROR(__xludf.DUMMYFUNCTION("""COMPUTED_VALUE"""),-20)</f>
        <v>-20</v>
      </c>
      <c r="K227" s="20">
        <f ca="1">IFERROR(__xludf.DUMMYFUNCTION("""COMPUTED_VALUE"""),30)</f>
        <v>30</v>
      </c>
      <c r="L227" s="20">
        <f ca="1">IFERROR(__xludf.DUMMYFUNCTION("""COMPUTED_VALUE"""),0)</f>
        <v>0</v>
      </c>
      <c r="M227" s="21">
        <f ca="1">IFERROR(__xludf.DUMMYFUNCTION("""COMPUTED_VALUE"""),30)</f>
        <v>30</v>
      </c>
      <c r="N227" s="21">
        <f ca="1">IFERROR(__xludf.DUMMYFUNCTION("""COMPUTED_VALUE"""),0)</f>
        <v>0</v>
      </c>
      <c r="O227" s="22">
        <f ca="1">IFERROR(__xludf.DUMMYFUNCTION("""COMPUTED_VALUE"""),58)</f>
        <v>58</v>
      </c>
      <c r="P227" s="22">
        <f ca="1">IFERROR(__xludf.DUMMYFUNCTION("""COMPUTED_VALUE"""),0)</f>
        <v>0</v>
      </c>
      <c r="Q227" s="23">
        <f ca="1">IFERROR(__xludf.DUMMYFUNCTION("""COMPUTED_VALUE"""),350)</f>
        <v>350</v>
      </c>
      <c r="R227" s="23">
        <f ca="1">IFERROR(__xludf.DUMMYFUNCTION("""COMPUTED_VALUE"""),-20)</f>
        <v>-20</v>
      </c>
      <c r="S227" s="25" t="str">
        <f ca="1">IFERROR(__xludf.DUMMYFUNCTION("""COMPUTED_VALUE"""),"Mold Breaker")</f>
        <v>Mold Breaker</v>
      </c>
      <c r="T227" s="25" t="str">
        <f ca="1">IFERROR(__xludf.DUMMYFUNCTION("""COMPUTED_VALUE"""),"Rock Head")</f>
        <v>Rock Head</v>
      </c>
      <c r="U227" s="25" t="str">
        <f ca="1">IFERROR(__xludf.DUMMYFUNCTION("""COMPUTED_VALUE"""),"Sheer Force")</f>
        <v>Sheer Force</v>
      </c>
      <c r="V227" s="25"/>
      <c r="W227" s="25"/>
      <c r="X227" s="25"/>
      <c r="Y227" s="25"/>
    </row>
    <row r="228" spans="1:25" x14ac:dyDescent="0.25">
      <c r="A228" s="15" t="str">
        <f ca="1">IFERROR(__xludf.DUMMYFUNCTION("""COMPUTED_VALUE"""),"Rampardos")</f>
        <v>Rampardos</v>
      </c>
      <c r="B228" s="16">
        <f ca="1">IFERROR(__xludf.DUMMYFUNCTION("""COMPUTED_VALUE"""),227)</f>
        <v>227</v>
      </c>
      <c r="C228" s="3" t="str">
        <f ca="1">IFERROR(__xludf.DUMMYFUNCTION("""COMPUTED_VALUE"""),"Rock")</f>
        <v>Rock</v>
      </c>
      <c r="D228" s="3"/>
      <c r="E228" s="17">
        <f ca="1">IFERROR(__xludf.DUMMYFUNCTION("""COMPUTED_VALUE"""),97)</f>
        <v>97</v>
      </c>
      <c r="F228" s="17">
        <f ca="1">IFERROR(__xludf.DUMMYFUNCTION("""COMPUTED_VALUE"""),0)</f>
        <v>0</v>
      </c>
      <c r="G228" s="18">
        <f ca="1">IFERROR(__xludf.DUMMYFUNCTION("""COMPUTED_VALUE"""),165)</f>
        <v>165</v>
      </c>
      <c r="H228" s="18">
        <f ca="1">IFERROR(__xludf.DUMMYFUNCTION("""COMPUTED_VALUE"""),0)</f>
        <v>0</v>
      </c>
      <c r="I228" s="19">
        <f ca="1">IFERROR(__xludf.DUMMYFUNCTION("""COMPUTED_VALUE"""),60)</f>
        <v>60</v>
      </c>
      <c r="J228" s="19">
        <f ca="1">IFERROR(__xludf.DUMMYFUNCTION("""COMPUTED_VALUE"""),0)</f>
        <v>0</v>
      </c>
      <c r="K228" s="20">
        <f ca="1">IFERROR(__xludf.DUMMYFUNCTION("""COMPUTED_VALUE"""),65)</f>
        <v>65</v>
      </c>
      <c r="L228" s="20">
        <f ca="1">IFERROR(__xludf.DUMMYFUNCTION("""COMPUTED_VALUE"""),0)</f>
        <v>0</v>
      </c>
      <c r="M228" s="21">
        <f ca="1">IFERROR(__xludf.DUMMYFUNCTION("""COMPUTED_VALUE"""),50)</f>
        <v>50</v>
      </c>
      <c r="N228" s="21">
        <f ca="1">IFERROR(__xludf.DUMMYFUNCTION("""COMPUTED_VALUE"""),0)</f>
        <v>0</v>
      </c>
      <c r="O228" s="22">
        <f ca="1">IFERROR(__xludf.DUMMYFUNCTION("""COMPUTED_VALUE"""),58)</f>
        <v>58</v>
      </c>
      <c r="P228" s="22">
        <f ca="1">IFERROR(__xludf.DUMMYFUNCTION("""COMPUTED_VALUE"""),0)</f>
        <v>0</v>
      </c>
      <c r="Q228" s="23">
        <f ca="1">IFERROR(__xludf.DUMMYFUNCTION("""COMPUTED_VALUE"""),495)</f>
        <v>495</v>
      </c>
      <c r="R228" s="23">
        <f ca="1">IFERROR(__xludf.DUMMYFUNCTION("""COMPUTED_VALUE"""),0)</f>
        <v>0</v>
      </c>
      <c r="S228" s="25" t="str">
        <f ca="1">IFERROR(__xludf.DUMMYFUNCTION("""COMPUTED_VALUE"""),"Mold Breaker")</f>
        <v>Mold Breaker</v>
      </c>
      <c r="T228" s="25" t="str">
        <f ca="1">IFERROR(__xludf.DUMMYFUNCTION("""COMPUTED_VALUE"""),"Rock Head")</f>
        <v>Rock Head</v>
      </c>
      <c r="U228" s="25" t="str">
        <f ca="1">IFERROR(__xludf.DUMMYFUNCTION("""COMPUTED_VALUE"""),"Sheer Force")</f>
        <v>Sheer Force</v>
      </c>
      <c r="V228" s="25" t="str">
        <f ca="1">IFERROR(__xludf.DUMMYFUNCTION("""COMPUTED_VALUE"""),"Lv. 30")</f>
        <v>Lv. 30</v>
      </c>
      <c r="W228" s="25"/>
      <c r="X228" s="25"/>
      <c r="Y228" s="25"/>
    </row>
    <row r="229" spans="1:25" x14ac:dyDescent="0.25">
      <c r="A229" s="15" t="str">
        <f ca="1">IFERROR(__xludf.DUMMYFUNCTION("""COMPUTED_VALUE"""),"Shieldon")</f>
        <v>Shieldon</v>
      </c>
      <c r="B229" s="16">
        <f ca="1">IFERROR(__xludf.DUMMYFUNCTION("""COMPUTED_VALUE"""),228)</f>
        <v>228</v>
      </c>
      <c r="C229" s="3" t="str">
        <f ca="1">IFERROR(__xludf.DUMMYFUNCTION("""COMPUTED_VALUE"""),"Rock")</f>
        <v>Rock</v>
      </c>
      <c r="D229" s="3" t="str">
        <f ca="1">IFERROR(__xludf.DUMMYFUNCTION("""COMPUTED_VALUE"""),"Steel")</f>
        <v>Steel</v>
      </c>
      <c r="E229" s="17">
        <f ca="1">IFERROR(__xludf.DUMMYFUNCTION("""COMPUTED_VALUE"""),40)</f>
        <v>40</v>
      </c>
      <c r="F229" s="17">
        <f ca="1">IFERROR(__xludf.DUMMYFUNCTION("""COMPUTED_VALUE"""),10)</f>
        <v>10</v>
      </c>
      <c r="G229" s="18">
        <f ca="1">IFERROR(__xludf.DUMMYFUNCTION("""COMPUTED_VALUE"""),47)</f>
        <v>47</v>
      </c>
      <c r="H229" s="18">
        <f ca="1">IFERROR(__xludf.DUMMYFUNCTION("""COMPUTED_VALUE"""),5)</f>
        <v>5</v>
      </c>
      <c r="I229" s="19">
        <f ca="1">IFERROR(__xludf.DUMMYFUNCTION("""COMPUTED_VALUE"""),118)</f>
        <v>118</v>
      </c>
      <c r="J229" s="19">
        <f ca="1">IFERROR(__xludf.DUMMYFUNCTION("""COMPUTED_VALUE"""),0)</f>
        <v>0</v>
      </c>
      <c r="K229" s="20">
        <f ca="1">IFERROR(__xludf.DUMMYFUNCTION("""COMPUTED_VALUE"""),37)</f>
        <v>37</v>
      </c>
      <c r="L229" s="20">
        <f ca="1">IFERROR(__xludf.DUMMYFUNCTION("""COMPUTED_VALUE"""),-5)</f>
        <v>-5</v>
      </c>
      <c r="M229" s="21">
        <f ca="1">IFERROR(__xludf.DUMMYFUNCTION("""COMPUTED_VALUE"""),88)</f>
        <v>88</v>
      </c>
      <c r="N229" s="21">
        <f ca="1">IFERROR(__xludf.DUMMYFUNCTION("""COMPUTED_VALUE"""),0)</f>
        <v>0</v>
      </c>
      <c r="O229" s="22">
        <f ca="1">IFERROR(__xludf.DUMMYFUNCTION("""COMPUTED_VALUE"""),30)</f>
        <v>30</v>
      </c>
      <c r="P229" s="22">
        <f ca="1">IFERROR(__xludf.DUMMYFUNCTION("""COMPUTED_VALUE"""),0)</f>
        <v>0</v>
      </c>
      <c r="Q229" s="23">
        <f ca="1">IFERROR(__xludf.DUMMYFUNCTION("""COMPUTED_VALUE"""),360)</f>
        <v>360</v>
      </c>
      <c r="R229" s="23">
        <f ca="1">IFERROR(__xludf.DUMMYFUNCTION("""COMPUTED_VALUE"""),10)</f>
        <v>10</v>
      </c>
      <c r="S229" s="25" t="str">
        <f ca="1">IFERROR(__xludf.DUMMYFUNCTION("""COMPUTED_VALUE"""),"Sturdy")</f>
        <v>Sturdy</v>
      </c>
      <c r="T229" s="25" t="str">
        <f ca="1">IFERROR(__xludf.DUMMYFUNCTION("""COMPUTED_VALUE"""),"Rock Head")</f>
        <v>Rock Head</v>
      </c>
      <c r="U229" s="25" t="str">
        <f ca="1">IFERROR(__xludf.DUMMYFUNCTION("""COMPUTED_VALUE"""),"Soundproof")</f>
        <v>Soundproof</v>
      </c>
      <c r="V229" s="25"/>
      <c r="W229" s="25"/>
      <c r="X229" s="25"/>
      <c r="Y229" s="25"/>
    </row>
    <row r="230" spans="1:25" x14ac:dyDescent="0.25">
      <c r="A230" s="15" t="str">
        <f ca="1">IFERROR(__xludf.DUMMYFUNCTION("""COMPUTED_VALUE"""),"Bastiodon")</f>
        <v>Bastiodon</v>
      </c>
      <c r="B230" s="16">
        <f ca="1">IFERROR(__xludf.DUMMYFUNCTION("""COMPUTED_VALUE"""),229)</f>
        <v>229</v>
      </c>
      <c r="C230" s="3" t="str">
        <f ca="1">IFERROR(__xludf.DUMMYFUNCTION("""COMPUTED_VALUE"""),"Rock")</f>
        <v>Rock</v>
      </c>
      <c r="D230" s="3" t="str">
        <f ca="1">IFERROR(__xludf.DUMMYFUNCTION("""COMPUTED_VALUE"""),"Steel")</f>
        <v>Steel</v>
      </c>
      <c r="E230" s="17">
        <f ca="1">IFERROR(__xludf.DUMMYFUNCTION("""COMPUTED_VALUE"""),75)</f>
        <v>75</v>
      </c>
      <c r="F230" s="17">
        <f ca="1">IFERROR(__xludf.DUMMYFUNCTION("""COMPUTED_VALUE"""),15)</f>
        <v>15</v>
      </c>
      <c r="G230" s="18">
        <f ca="1">IFERROR(__xludf.DUMMYFUNCTION("""COMPUTED_VALUE"""),67)</f>
        <v>67</v>
      </c>
      <c r="H230" s="18">
        <f ca="1">IFERROR(__xludf.DUMMYFUNCTION("""COMPUTED_VALUE"""),15)</f>
        <v>15</v>
      </c>
      <c r="I230" s="19">
        <f ca="1">IFERROR(__xludf.DUMMYFUNCTION("""COMPUTED_VALUE"""),168)</f>
        <v>168</v>
      </c>
      <c r="J230" s="19">
        <f ca="1">IFERROR(__xludf.DUMMYFUNCTION("""COMPUTED_VALUE"""),0)</f>
        <v>0</v>
      </c>
      <c r="K230" s="20">
        <f ca="1">IFERROR(__xludf.DUMMYFUNCTION("""COMPUTED_VALUE"""),37)</f>
        <v>37</v>
      </c>
      <c r="L230" s="20">
        <f ca="1">IFERROR(__xludf.DUMMYFUNCTION("""COMPUTED_VALUE"""),-10)</f>
        <v>-10</v>
      </c>
      <c r="M230" s="21">
        <f ca="1">IFERROR(__xludf.DUMMYFUNCTION("""COMPUTED_VALUE"""),128)</f>
        <v>128</v>
      </c>
      <c r="N230" s="21">
        <f ca="1">IFERROR(__xludf.DUMMYFUNCTION("""COMPUTED_VALUE"""),-10)</f>
        <v>-10</v>
      </c>
      <c r="O230" s="22">
        <f ca="1">IFERROR(__xludf.DUMMYFUNCTION("""COMPUTED_VALUE"""),30)</f>
        <v>30</v>
      </c>
      <c r="P230" s="22">
        <f ca="1">IFERROR(__xludf.DUMMYFUNCTION("""COMPUTED_VALUE"""),0)</f>
        <v>0</v>
      </c>
      <c r="Q230" s="23">
        <f ca="1">IFERROR(__xludf.DUMMYFUNCTION("""COMPUTED_VALUE"""),505)</f>
        <v>505</v>
      </c>
      <c r="R230" s="23">
        <f ca="1">IFERROR(__xludf.DUMMYFUNCTION("""COMPUTED_VALUE"""),10)</f>
        <v>10</v>
      </c>
      <c r="S230" s="25" t="str">
        <f ca="1">IFERROR(__xludf.DUMMYFUNCTION("""COMPUTED_VALUE"""),"Sturdy")</f>
        <v>Sturdy</v>
      </c>
      <c r="T230" s="25" t="str">
        <f ca="1">IFERROR(__xludf.DUMMYFUNCTION("""COMPUTED_VALUE"""),"Rock Head")</f>
        <v>Rock Head</v>
      </c>
      <c r="U230" s="25" t="str">
        <f ca="1">IFERROR(__xludf.DUMMYFUNCTION("""COMPUTED_VALUE"""),"Soundproof")</f>
        <v>Soundproof</v>
      </c>
      <c r="V230" s="25" t="str">
        <f ca="1">IFERROR(__xludf.DUMMYFUNCTION("""COMPUTED_VALUE"""),"Lv. 30")</f>
        <v>Lv. 30</v>
      </c>
      <c r="W230" s="25"/>
      <c r="X230" s="25"/>
      <c r="Y230" s="25"/>
    </row>
    <row r="231" spans="1:25" x14ac:dyDescent="0.25">
      <c r="A231" s="15" t="str">
        <f ca="1">IFERROR(__xludf.DUMMYFUNCTION("""COMPUTED_VALUE"""),"Spiritomb")</f>
        <v>Spiritomb</v>
      </c>
      <c r="B231" s="16">
        <f ca="1">IFERROR(__xludf.DUMMYFUNCTION("""COMPUTED_VALUE"""),230)</f>
        <v>230</v>
      </c>
      <c r="C231" s="3" t="str">
        <f ca="1">IFERROR(__xludf.DUMMYFUNCTION("""COMPUTED_VALUE"""),"Ghost")</f>
        <v>Ghost</v>
      </c>
      <c r="D231" s="3" t="str">
        <f ca="1">IFERROR(__xludf.DUMMYFUNCTION("""COMPUTED_VALUE"""),"Dark")</f>
        <v>Dark</v>
      </c>
      <c r="E231" s="17">
        <f ca="1">IFERROR(__xludf.DUMMYFUNCTION("""COMPUTED_VALUE"""),60)</f>
        <v>60</v>
      </c>
      <c r="F231" s="17">
        <f ca="1">IFERROR(__xludf.DUMMYFUNCTION("""COMPUTED_VALUE"""),10)</f>
        <v>10</v>
      </c>
      <c r="G231" s="18">
        <f ca="1">IFERROR(__xludf.DUMMYFUNCTION("""COMPUTED_VALUE"""),92)</f>
        <v>92</v>
      </c>
      <c r="H231" s="18">
        <f ca="1">IFERROR(__xludf.DUMMYFUNCTION("""COMPUTED_VALUE"""),0)</f>
        <v>0</v>
      </c>
      <c r="I231" s="19">
        <f ca="1">IFERROR(__xludf.DUMMYFUNCTION("""COMPUTED_VALUE"""),108)</f>
        <v>108</v>
      </c>
      <c r="J231" s="19">
        <f ca="1">IFERROR(__xludf.DUMMYFUNCTION("""COMPUTED_VALUE"""),0)</f>
        <v>0</v>
      </c>
      <c r="K231" s="20">
        <f ca="1">IFERROR(__xludf.DUMMYFUNCTION("""COMPUTED_VALUE"""),92)</f>
        <v>92</v>
      </c>
      <c r="L231" s="20">
        <f ca="1">IFERROR(__xludf.DUMMYFUNCTION("""COMPUTED_VALUE"""),0)</f>
        <v>0</v>
      </c>
      <c r="M231" s="21">
        <f ca="1">IFERROR(__xludf.DUMMYFUNCTION("""COMPUTED_VALUE"""),108)</f>
        <v>108</v>
      </c>
      <c r="N231" s="21">
        <f ca="1">IFERROR(__xludf.DUMMYFUNCTION("""COMPUTED_VALUE"""),0)</f>
        <v>0</v>
      </c>
      <c r="O231" s="22">
        <f ca="1">IFERROR(__xludf.DUMMYFUNCTION("""COMPUTED_VALUE"""),35)</f>
        <v>35</v>
      </c>
      <c r="P231" s="22">
        <f ca="1">IFERROR(__xludf.DUMMYFUNCTION("""COMPUTED_VALUE"""),0)</f>
        <v>0</v>
      </c>
      <c r="Q231" s="23">
        <f ca="1">IFERROR(__xludf.DUMMYFUNCTION("""COMPUTED_VALUE"""),495)</f>
        <v>495</v>
      </c>
      <c r="R231" s="23">
        <f ca="1">IFERROR(__xludf.DUMMYFUNCTION("""COMPUTED_VALUE"""),10)</f>
        <v>10</v>
      </c>
      <c r="S231" s="25" t="str">
        <f ca="1">IFERROR(__xludf.DUMMYFUNCTION("""COMPUTED_VALUE"""),"Pressure")</f>
        <v>Pressure</v>
      </c>
      <c r="T231" s="25" t="str">
        <f ca="1">IFERROR(__xludf.DUMMYFUNCTION("""COMPUTED_VALUE"""),"Infiltrator")</f>
        <v>Infiltrator</v>
      </c>
      <c r="U231" s="25" t="str">
        <f ca="1">IFERROR(__xludf.DUMMYFUNCTION("""COMPUTED_VALUE"""),"Prankster")</f>
        <v>Prankster</v>
      </c>
      <c r="V231" s="25"/>
      <c r="W231" s="25"/>
      <c r="X231" s="25"/>
      <c r="Y231" s="25"/>
    </row>
    <row r="232" spans="1:25" x14ac:dyDescent="0.25">
      <c r="A232" s="15" t="str">
        <f ca="1">IFERROR(__xludf.DUMMYFUNCTION("""COMPUTED_VALUE"""),"Yamper")</f>
        <v>Yamper</v>
      </c>
      <c r="B232" s="16">
        <f ca="1">IFERROR(__xludf.DUMMYFUNCTION("""COMPUTED_VALUE"""),231)</f>
        <v>231</v>
      </c>
      <c r="C232" s="3" t="str">
        <f ca="1">IFERROR(__xludf.DUMMYFUNCTION("""COMPUTED_VALUE"""),"Electric")</f>
        <v>Electric</v>
      </c>
      <c r="D232" s="3"/>
      <c r="E232" s="17">
        <f ca="1">IFERROR(__xludf.DUMMYFUNCTION("""COMPUTED_VALUE"""),59)</f>
        <v>59</v>
      </c>
      <c r="F232" s="17">
        <f ca="1">IFERROR(__xludf.DUMMYFUNCTION("""COMPUTED_VALUE"""),0)</f>
        <v>0</v>
      </c>
      <c r="G232" s="18">
        <f ca="1">IFERROR(__xludf.DUMMYFUNCTION("""COMPUTED_VALUE"""),45)</f>
        <v>45</v>
      </c>
      <c r="H232" s="18">
        <f ca="1">IFERROR(__xludf.DUMMYFUNCTION("""COMPUTED_VALUE"""),0)</f>
        <v>0</v>
      </c>
      <c r="I232" s="19">
        <f ca="1">IFERROR(__xludf.DUMMYFUNCTION("""COMPUTED_VALUE"""),50)</f>
        <v>50</v>
      </c>
      <c r="J232" s="19">
        <f ca="1">IFERROR(__xludf.DUMMYFUNCTION("""COMPUTED_VALUE"""),0)</f>
        <v>0</v>
      </c>
      <c r="K232" s="20">
        <f ca="1">IFERROR(__xludf.DUMMYFUNCTION("""COMPUTED_VALUE"""),40)</f>
        <v>40</v>
      </c>
      <c r="L232" s="20">
        <f ca="1">IFERROR(__xludf.DUMMYFUNCTION("""COMPUTED_VALUE"""),0)</f>
        <v>0</v>
      </c>
      <c r="M232" s="21">
        <f ca="1">IFERROR(__xludf.DUMMYFUNCTION("""COMPUTED_VALUE"""),50)</f>
        <v>50</v>
      </c>
      <c r="N232" s="21">
        <f ca="1">IFERROR(__xludf.DUMMYFUNCTION("""COMPUTED_VALUE"""),0)</f>
        <v>0</v>
      </c>
      <c r="O232" s="22">
        <f ca="1">IFERROR(__xludf.DUMMYFUNCTION("""COMPUTED_VALUE"""),26)</f>
        <v>26</v>
      </c>
      <c r="P232" s="22">
        <f ca="1">IFERROR(__xludf.DUMMYFUNCTION("""COMPUTED_VALUE"""),0)</f>
        <v>0</v>
      </c>
      <c r="Q232" s="23">
        <f ca="1">IFERROR(__xludf.DUMMYFUNCTION("""COMPUTED_VALUE"""),270)</f>
        <v>270</v>
      </c>
      <c r="R232" s="23">
        <f ca="1">IFERROR(__xludf.DUMMYFUNCTION("""COMPUTED_VALUE"""),0)</f>
        <v>0</v>
      </c>
      <c r="S232" s="25" t="str">
        <f ca="1">IFERROR(__xludf.DUMMYFUNCTION("""COMPUTED_VALUE"""),"Ball Fetch")</f>
        <v>Ball Fetch</v>
      </c>
      <c r="T232" s="25" t="str">
        <f ca="1">IFERROR(__xludf.DUMMYFUNCTION("""COMPUTED_VALUE"""),"Competitive")</f>
        <v>Competitive</v>
      </c>
      <c r="U232" s="25" t="str">
        <f ca="1">IFERROR(__xludf.DUMMYFUNCTION("""COMPUTED_VALUE"""),"Rattled")</f>
        <v>Rattled</v>
      </c>
      <c r="V232" s="25"/>
      <c r="W232" s="25"/>
      <c r="X232" s="25"/>
      <c r="Y232" s="25"/>
    </row>
    <row r="233" spans="1:25" x14ac:dyDescent="0.25">
      <c r="A233" s="15" t="str">
        <f ca="1">IFERROR(__xludf.DUMMYFUNCTION("""COMPUTED_VALUE"""),"Boltund")</f>
        <v>Boltund</v>
      </c>
      <c r="B233" s="16">
        <f ca="1">IFERROR(__xludf.DUMMYFUNCTION("""COMPUTED_VALUE"""),232)</f>
        <v>232</v>
      </c>
      <c r="C233" s="3" t="str">
        <f ca="1">IFERROR(__xludf.DUMMYFUNCTION("""COMPUTED_VALUE"""),"Electric")</f>
        <v>Electric</v>
      </c>
      <c r="D233" s="3"/>
      <c r="E233" s="17">
        <f ca="1">IFERROR(__xludf.DUMMYFUNCTION("""COMPUTED_VALUE"""),74)</f>
        <v>74</v>
      </c>
      <c r="F233" s="17">
        <f ca="1">IFERROR(__xludf.DUMMYFUNCTION("""COMPUTED_VALUE"""),5)</f>
        <v>5</v>
      </c>
      <c r="G233" s="18">
        <f ca="1">IFERROR(__xludf.DUMMYFUNCTION("""COMPUTED_VALUE"""),95)</f>
        <v>95</v>
      </c>
      <c r="H233" s="18">
        <f ca="1">IFERROR(__xludf.DUMMYFUNCTION("""COMPUTED_VALUE"""),5)</f>
        <v>5</v>
      </c>
      <c r="I233" s="19">
        <f ca="1">IFERROR(__xludf.DUMMYFUNCTION("""COMPUTED_VALUE"""),60)</f>
        <v>60</v>
      </c>
      <c r="J233" s="19">
        <f ca="1">IFERROR(__xludf.DUMMYFUNCTION("""COMPUTED_VALUE"""),0)</f>
        <v>0</v>
      </c>
      <c r="K233" s="20">
        <f ca="1">IFERROR(__xludf.DUMMYFUNCTION("""COMPUTED_VALUE"""),90)</f>
        <v>90</v>
      </c>
      <c r="L233" s="20">
        <f ca="1">IFERROR(__xludf.DUMMYFUNCTION("""COMPUTED_VALUE"""),0)</f>
        <v>0</v>
      </c>
      <c r="M233" s="21">
        <f ca="1">IFERROR(__xludf.DUMMYFUNCTION("""COMPUTED_VALUE"""),60)</f>
        <v>60</v>
      </c>
      <c r="N233" s="21">
        <f ca="1">IFERROR(__xludf.DUMMYFUNCTION("""COMPUTED_VALUE"""),0)</f>
        <v>0</v>
      </c>
      <c r="O233" s="22">
        <f ca="1">IFERROR(__xludf.DUMMYFUNCTION("""COMPUTED_VALUE"""),121)</f>
        <v>121</v>
      </c>
      <c r="P233" s="22">
        <f ca="1">IFERROR(__xludf.DUMMYFUNCTION("""COMPUTED_VALUE"""),0)</f>
        <v>0</v>
      </c>
      <c r="Q233" s="23">
        <f ca="1">IFERROR(__xludf.DUMMYFUNCTION("""COMPUTED_VALUE"""),500)</f>
        <v>500</v>
      </c>
      <c r="R233" s="23">
        <f ca="1">IFERROR(__xludf.DUMMYFUNCTION("""COMPUTED_VALUE"""),10)</f>
        <v>10</v>
      </c>
      <c r="S233" s="25" t="str">
        <f ca="1">IFERROR(__xludf.DUMMYFUNCTION("""COMPUTED_VALUE"""),"Strong Jaw")</f>
        <v>Strong Jaw</v>
      </c>
      <c r="T233" s="25" t="str">
        <f ca="1">IFERROR(__xludf.DUMMYFUNCTION("""COMPUTED_VALUE"""),"Competitive")</f>
        <v>Competitive</v>
      </c>
      <c r="U233" s="25" t="str">
        <f ca="1">IFERROR(__xludf.DUMMYFUNCTION("""COMPUTED_VALUE"""),"Tough Claws")</f>
        <v>Tough Claws</v>
      </c>
      <c r="V233" s="25" t="str">
        <f ca="1">IFERROR(__xludf.DUMMYFUNCTION("""COMPUTED_VALUE"""),"Lv. 25")</f>
        <v>Lv. 25</v>
      </c>
      <c r="W233" s="25"/>
      <c r="X233" s="25"/>
      <c r="Y233" s="25"/>
    </row>
    <row r="234" spans="1:25" x14ac:dyDescent="0.25">
      <c r="A234" s="15" t="str">
        <f ca="1">IFERROR(__xludf.DUMMYFUNCTION("""COMPUTED_VALUE"""),"Pawmi")</f>
        <v>Pawmi</v>
      </c>
      <c r="B234" s="16">
        <f ca="1">IFERROR(__xludf.DUMMYFUNCTION("""COMPUTED_VALUE"""),233)</f>
        <v>233</v>
      </c>
      <c r="C234" s="3" t="str">
        <f ca="1">IFERROR(__xludf.DUMMYFUNCTION("""COMPUTED_VALUE"""),"Electric")</f>
        <v>Electric</v>
      </c>
      <c r="D234" s="3"/>
      <c r="E234" s="17">
        <f ca="1">IFERROR(__xludf.DUMMYFUNCTION("""COMPUTED_VALUE"""),45)</f>
        <v>45</v>
      </c>
      <c r="F234" s="17">
        <f ca="1">IFERROR(__xludf.DUMMYFUNCTION("""COMPUTED_VALUE"""),0)</f>
        <v>0</v>
      </c>
      <c r="G234" s="18">
        <f ca="1">IFERROR(__xludf.DUMMYFUNCTION("""COMPUTED_VALUE"""),50)</f>
        <v>50</v>
      </c>
      <c r="H234" s="18">
        <f ca="1">IFERROR(__xludf.DUMMYFUNCTION("""COMPUTED_VALUE"""),0)</f>
        <v>0</v>
      </c>
      <c r="I234" s="19">
        <f ca="1">IFERROR(__xludf.DUMMYFUNCTION("""COMPUTED_VALUE"""),20)</f>
        <v>20</v>
      </c>
      <c r="J234" s="19">
        <f ca="1">IFERROR(__xludf.DUMMYFUNCTION("""COMPUTED_VALUE"""),0)</f>
        <v>0</v>
      </c>
      <c r="K234" s="20">
        <f ca="1">IFERROR(__xludf.DUMMYFUNCTION("""COMPUTED_VALUE"""),40)</f>
        <v>40</v>
      </c>
      <c r="L234" s="20">
        <f ca="1">IFERROR(__xludf.DUMMYFUNCTION("""COMPUTED_VALUE"""),0)</f>
        <v>0</v>
      </c>
      <c r="M234" s="21">
        <f ca="1">IFERROR(__xludf.DUMMYFUNCTION("""COMPUTED_VALUE"""),25)</f>
        <v>25</v>
      </c>
      <c r="N234" s="21">
        <f ca="1">IFERROR(__xludf.DUMMYFUNCTION("""COMPUTED_VALUE"""),0)</f>
        <v>0</v>
      </c>
      <c r="O234" s="22">
        <f ca="1">IFERROR(__xludf.DUMMYFUNCTION("""COMPUTED_VALUE"""),60)</f>
        <v>60</v>
      </c>
      <c r="P234" s="22">
        <f ca="1">IFERROR(__xludf.DUMMYFUNCTION("""COMPUTED_VALUE"""),0)</f>
        <v>0</v>
      </c>
      <c r="Q234" s="23">
        <f ca="1">IFERROR(__xludf.DUMMYFUNCTION("""COMPUTED_VALUE"""),240)</f>
        <v>240</v>
      </c>
      <c r="R234" s="23">
        <f ca="1">IFERROR(__xludf.DUMMYFUNCTION("""COMPUTED_VALUE"""),0)</f>
        <v>0</v>
      </c>
      <c r="S234" s="24" t="str">
        <f ca="1">IFERROR(__xludf.DUMMYFUNCTION("""COMPUTED_VALUE"""),"Static")</f>
        <v>Static</v>
      </c>
      <c r="T234" s="24" t="str">
        <f ca="1">IFERROR(__xludf.DUMMYFUNCTION("""COMPUTED_VALUE"""),"Natural Cure")</f>
        <v>Natural Cure</v>
      </c>
      <c r="U234" s="24" t="str">
        <f ca="1">IFERROR(__xludf.DUMMYFUNCTION("""COMPUTED_VALUE"""),"Iron Fist")</f>
        <v>Iron Fist</v>
      </c>
      <c r="V234" s="25"/>
      <c r="W234" s="25"/>
      <c r="X234" s="25"/>
      <c r="Y234" s="25" t="str">
        <f ca="1">IFERROR(__xludf.DUMMYFUNCTION("""COMPUTED_VALUE"""),"Asfal Hills (wild)")</f>
        <v>Asfal Hills (wild)</v>
      </c>
    </row>
    <row r="235" spans="1:25" x14ac:dyDescent="0.25">
      <c r="A235" s="15" t="str">
        <f ca="1">IFERROR(__xludf.DUMMYFUNCTION("""COMPUTED_VALUE"""),"Pawmo")</f>
        <v>Pawmo</v>
      </c>
      <c r="B235" s="16">
        <f ca="1">IFERROR(__xludf.DUMMYFUNCTION("""COMPUTED_VALUE"""),234)</f>
        <v>234</v>
      </c>
      <c r="C235" s="3" t="str">
        <f ca="1">IFERROR(__xludf.DUMMYFUNCTION("""COMPUTED_VALUE"""),"Electric")</f>
        <v>Electric</v>
      </c>
      <c r="D235" s="3" t="str">
        <f ca="1">IFERROR(__xludf.DUMMYFUNCTION("""COMPUTED_VALUE"""),"Fighting")</f>
        <v>Fighting</v>
      </c>
      <c r="E235" s="17">
        <f ca="1">IFERROR(__xludf.DUMMYFUNCTION("""COMPUTED_VALUE"""),60)</f>
        <v>60</v>
      </c>
      <c r="F235" s="17">
        <f ca="1">IFERROR(__xludf.DUMMYFUNCTION("""COMPUTED_VALUE"""),0)</f>
        <v>0</v>
      </c>
      <c r="G235" s="18">
        <f ca="1">IFERROR(__xludf.DUMMYFUNCTION("""COMPUTED_VALUE"""),76)</f>
        <v>76</v>
      </c>
      <c r="H235" s="18">
        <f ca="1">IFERROR(__xludf.DUMMYFUNCTION("""COMPUTED_VALUE"""),1)</f>
        <v>1</v>
      </c>
      <c r="I235" s="19">
        <f ca="1">IFERROR(__xludf.DUMMYFUNCTION("""COMPUTED_VALUE"""),40)</f>
        <v>40</v>
      </c>
      <c r="J235" s="19">
        <f ca="1">IFERROR(__xludf.DUMMYFUNCTION("""COMPUTED_VALUE"""),0)</f>
        <v>0</v>
      </c>
      <c r="K235" s="20">
        <f ca="1">IFERROR(__xludf.DUMMYFUNCTION("""COMPUTED_VALUE"""),50)</f>
        <v>50</v>
      </c>
      <c r="L235" s="20">
        <f ca="1">IFERROR(__xludf.DUMMYFUNCTION("""COMPUTED_VALUE"""),0)</f>
        <v>0</v>
      </c>
      <c r="M235" s="21">
        <f ca="1">IFERROR(__xludf.DUMMYFUNCTION("""COMPUTED_VALUE"""),50)</f>
        <v>50</v>
      </c>
      <c r="N235" s="21">
        <f ca="1">IFERROR(__xludf.DUMMYFUNCTION("""COMPUTED_VALUE"""),10)</f>
        <v>10</v>
      </c>
      <c r="O235" s="22">
        <f ca="1">IFERROR(__xludf.DUMMYFUNCTION("""COMPUTED_VALUE"""),74)</f>
        <v>74</v>
      </c>
      <c r="P235" s="22">
        <f ca="1">IFERROR(__xludf.DUMMYFUNCTION("""COMPUTED_VALUE"""),-11)</f>
        <v>-11</v>
      </c>
      <c r="Q235" s="23">
        <f ca="1">IFERROR(__xludf.DUMMYFUNCTION("""COMPUTED_VALUE"""),350)</f>
        <v>350</v>
      </c>
      <c r="R235" s="23">
        <f ca="1">IFERROR(__xludf.DUMMYFUNCTION("""COMPUTED_VALUE"""),0)</f>
        <v>0</v>
      </c>
      <c r="S235" s="24" t="str">
        <f ca="1">IFERROR(__xludf.DUMMYFUNCTION("""COMPUTED_VALUE"""),"Volt Absorb")</f>
        <v>Volt Absorb</v>
      </c>
      <c r="T235" s="24" t="str">
        <f ca="1">IFERROR(__xludf.DUMMYFUNCTION("""COMPUTED_VALUE"""),"Natural Cure")</f>
        <v>Natural Cure</v>
      </c>
      <c r="U235" s="24" t="str">
        <f ca="1">IFERROR(__xludf.DUMMYFUNCTION("""COMPUTED_VALUE"""),"Iron Fist")</f>
        <v>Iron Fist</v>
      </c>
      <c r="V235" s="25" t="str">
        <f ca="1">IFERROR(__xludf.DUMMYFUNCTION("""COMPUTED_VALUE"""),"Lv. 20")</f>
        <v>Lv. 20</v>
      </c>
      <c r="W235" s="25"/>
      <c r="X235" s="25"/>
      <c r="Y235" s="25" t="str">
        <f ca="1">IFERROR(__xludf.DUMMYFUNCTION("""COMPUTED_VALUE"""),"Palati City (wild)")</f>
        <v>Palati City (wild)</v>
      </c>
    </row>
    <row r="236" spans="1:25" x14ac:dyDescent="0.25">
      <c r="A236" s="15" t="str">
        <f ca="1">IFERROR(__xludf.DUMMYFUNCTION("""COMPUTED_VALUE"""),"Pawmott")</f>
        <v>Pawmott</v>
      </c>
      <c r="B236" s="16">
        <f ca="1">IFERROR(__xludf.DUMMYFUNCTION("""COMPUTED_VALUE"""),235)</f>
        <v>235</v>
      </c>
      <c r="C236" s="3" t="str">
        <f ca="1">IFERROR(__xludf.DUMMYFUNCTION("""COMPUTED_VALUE"""),"Electric")</f>
        <v>Electric</v>
      </c>
      <c r="D236" s="3" t="str">
        <f ca="1">IFERROR(__xludf.DUMMYFUNCTION("""COMPUTED_VALUE"""),"Fighting")</f>
        <v>Fighting</v>
      </c>
      <c r="E236" s="17">
        <f ca="1">IFERROR(__xludf.DUMMYFUNCTION("""COMPUTED_VALUE"""),75)</f>
        <v>75</v>
      </c>
      <c r="F236" s="17">
        <f ca="1">IFERROR(__xludf.DUMMYFUNCTION("""COMPUTED_VALUE"""),5)</f>
        <v>5</v>
      </c>
      <c r="G236" s="18">
        <f ca="1">IFERROR(__xludf.DUMMYFUNCTION("""COMPUTED_VALUE"""),115)</f>
        <v>115</v>
      </c>
      <c r="H236" s="18">
        <f ca="1">IFERROR(__xludf.DUMMYFUNCTION("""COMPUTED_VALUE"""),0)</f>
        <v>0</v>
      </c>
      <c r="I236" s="19">
        <f ca="1">IFERROR(__xludf.DUMMYFUNCTION("""COMPUTED_VALUE"""),74)</f>
        <v>74</v>
      </c>
      <c r="J236" s="19">
        <f ca="1">IFERROR(__xludf.DUMMYFUNCTION("""COMPUTED_VALUE"""),4)</f>
        <v>4</v>
      </c>
      <c r="K236" s="20">
        <f ca="1">IFERROR(__xludf.DUMMYFUNCTION("""COMPUTED_VALUE"""),70)</f>
        <v>70</v>
      </c>
      <c r="L236" s="20">
        <f ca="1">IFERROR(__xludf.DUMMYFUNCTION("""COMPUTED_VALUE"""),0)</f>
        <v>0</v>
      </c>
      <c r="M236" s="21">
        <f ca="1">IFERROR(__xludf.DUMMYFUNCTION("""COMPUTED_VALUE"""),60)</f>
        <v>60</v>
      </c>
      <c r="N236" s="21">
        <f ca="1">IFERROR(__xludf.DUMMYFUNCTION("""COMPUTED_VALUE"""),0)</f>
        <v>0</v>
      </c>
      <c r="O236" s="22">
        <f ca="1">IFERROR(__xludf.DUMMYFUNCTION("""COMPUTED_VALUE"""),96)</f>
        <v>96</v>
      </c>
      <c r="P236" s="22">
        <f ca="1">IFERROR(__xludf.DUMMYFUNCTION("""COMPUTED_VALUE"""),-9)</f>
        <v>-9</v>
      </c>
      <c r="Q236" s="23">
        <f ca="1">IFERROR(__xludf.DUMMYFUNCTION("""COMPUTED_VALUE"""),490)</f>
        <v>490</v>
      </c>
      <c r="R236" s="23">
        <f ca="1">IFERROR(__xludf.DUMMYFUNCTION("""COMPUTED_VALUE"""),0)</f>
        <v>0</v>
      </c>
      <c r="S236" s="24" t="str">
        <f ca="1">IFERROR(__xludf.DUMMYFUNCTION("""COMPUTED_VALUE"""),"Volt Absorb")</f>
        <v>Volt Absorb</v>
      </c>
      <c r="T236" s="24" t="str">
        <f ca="1">IFERROR(__xludf.DUMMYFUNCTION("""COMPUTED_VALUE"""),"Natural Cure")</f>
        <v>Natural Cure</v>
      </c>
      <c r="U236" s="24" t="str">
        <f ca="1">IFERROR(__xludf.DUMMYFUNCTION("""COMPUTED_VALUE"""),"Iron Fist")</f>
        <v>Iron Fist</v>
      </c>
      <c r="V236" s="25" t="str">
        <f ca="1">IFERROR(__xludf.DUMMYFUNCTION("""COMPUTED_VALUE"""),"Lv. after 1000 Steps as Follower")</f>
        <v>Lv. after 1000 Steps as Follower</v>
      </c>
      <c r="W236" s="25"/>
      <c r="X236" s="25"/>
      <c r="Y236" s="25" t="str">
        <f ca="1">IFERROR(__xludf.DUMMYFUNCTION("""COMPUTED_VALUE"""),"Pawmo (evolve)")</f>
        <v>Pawmo (evolve)</v>
      </c>
    </row>
    <row r="237" spans="1:25" x14ac:dyDescent="0.25">
      <c r="A237" s="15" t="str">
        <f ca="1">IFERROR(__xludf.DUMMYFUNCTION("""COMPUTED_VALUE"""),"Shroodle")</f>
        <v>Shroodle</v>
      </c>
      <c r="B237" s="16">
        <f ca="1">IFERROR(__xludf.DUMMYFUNCTION("""COMPUTED_VALUE"""),236)</f>
        <v>236</v>
      </c>
      <c r="C237" s="3" t="str">
        <f ca="1">IFERROR(__xludf.DUMMYFUNCTION("""COMPUTED_VALUE"""),"Poison")</f>
        <v>Poison</v>
      </c>
      <c r="D237" s="3" t="str">
        <f ca="1">IFERROR(__xludf.DUMMYFUNCTION("""COMPUTED_VALUE"""),"Normal")</f>
        <v>Normal</v>
      </c>
      <c r="E237" s="17">
        <f ca="1">IFERROR(__xludf.DUMMYFUNCTION("""COMPUTED_VALUE"""),40)</f>
        <v>40</v>
      </c>
      <c r="F237" s="17">
        <f ca="1">IFERROR(__xludf.DUMMYFUNCTION("""COMPUTED_VALUE"""),0)</f>
        <v>0</v>
      </c>
      <c r="G237" s="18">
        <f ca="1">IFERROR(__xludf.DUMMYFUNCTION("""COMPUTED_VALUE"""),65)</f>
        <v>65</v>
      </c>
      <c r="H237" s="18">
        <f ca="1">IFERROR(__xludf.DUMMYFUNCTION("""COMPUTED_VALUE"""),0)</f>
        <v>0</v>
      </c>
      <c r="I237" s="19">
        <f ca="1">IFERROR(__xludf.DUMMYFUNCTION("""COMPUTED_VALUE"""),35)</f>
        <v>35</v>
      </c>
      <c r="J237" s="19">
        <f ca="1">IFERROR(__xludf.DUMMYFUNCTION("""COMPUTED_VALUE"""),0)</f>
        <v>0</v>
      </c>
      <c r="K237" s="20">
        <f ca="1">IFERROR(__xludf.DUMMYFUNCTION("""COMPUTED_VALUE"""),40)</f>
        <v>40</v>
      </c>
      <c r="L237" s="20">
        <f ca="1">IFERROR(__xludf.DUMMYFUNCTION("""COMPUTED_VALUE"""),0)</f>
        <v>0</v>
      </c>
      <c r="M237" s="21">
        <f ca="1">IFERROR(__xludf.DUMMYFUNCTION("""COMPUTED_VALUE"""),35)</f>
        <v>35</v>
      </c>
      <c r="N237" s="21">
        <f ca="1">IFERROR(__xludf.DUMMYFUNCTION("""COMPUTED_VALUE"""),0)</f>
        <v>0</v>
      </c>
      <c r="O237" s="22">
        <f ca="1">IFERROR(__xludf.DUMMYFUNCTION("""COMPUTED_VALUE"""),75)</f>
        <v>75</v>
      </c>
      <c r="P237" s="22">
        <f ca="1">IFERROR(__xludf.DUMMYFUNCTION("""COMPUTED_VALUE"""),0)</f>
        <v>0</v>
      </c>
      <c r="Q237" s="23">
        <f ca="1">IFERROR(__xludf.DUMMYFUNCTION("""COMPUTED_VALUE"""),290)</f>
        <v>290</v>
      </c>
      <c r="R237" s="23">
        <f ca="1">IFERROR(__xludf.DUMMYFUNCTION("""COMPUTED_VALUE"""),0)</f>
        <v>0</v>
      </c>
      <c r="S237" s="24" t="str">
        <f ca="1">IFERROR(__xludf.DUMMYFUNCTION("""COMPUTED_VALUE"""),"Unburden")</f>
        <v>Unburden</v>
      </c>
      <c r="T237" s="24" t="str">
        <f ca="1">IFERROR(__xludf.DUMMYFUNCTION("""COMPUTED_VALUE"""),"Pickpocket")</f>
        <v>Pickpocket</v>
      </c>
      <c r="U237" s="24" t="str">
        <f ca="1">IFERROR(__xludf.DUMMYFUNCTION("""COMPUTED_VALUE"""),"Prankster")</f>
        <v>Prankster</v>
      </c>
      <c r="V237" s="25"/>
      <c r="W237" s="25"/>
      <c r="X237" s="25"/>
      <c r="Y237" s="25" t="str">
        <f ca="1">IFERROR(__xludf.DUMMYFUNCTION("""COMPUTED_VALUE"""),"Kalami City, Asfal Hills (wild)")</f>
        <v>Kalami City, Asfal Hills (wild)</v>
      </c>
    </row>
    <row r="238" spans="1:25" x14ac:dyDescent="0.25">
      <c r="A238" s="15" t="str">
        <f ca="1">IFERROR(__xludf.DUMMYFUNCTION("""COMPUTED_VALUE"""),"Grafaiai")</f>
        <v>Grafaiai</v>
      </c>
      <c r="B238" s="16">
        <f ca="1">IFERROR(__xludf.DUMMYFUNCTION("""COMPUTED_VALUE"""),237)</f>
        <v>237</v>
      </c>
      <c r="C238" s="3" t="str">
        <f ca="1">IFERROR(__xludf.DUMMYFUNCTION("""COMPUTED_VALUE"""),"Poison")</f>
        <v>Poison</v>
      </c>
      <c r="D238" s="3" t="str">
        <f ca="1">IFERROR(__xludf.DUMMYFUNCTION("""COMPUTED_VALUE"""),"Normal")</f>
        <v>Normal</v>
      </c>
      <c r="E238" s="17">
        <f ca="1">IFERROR(__xludf.DUMMYFUNCTION("""COMPUTED_VALUE"""),73)</f>
        <v>73</v>
      </c>
      <c r="F238" s="17">
        <f ca="1">IFERROR(__xludf.DUMMYFUNCTION("""COMPUTED_VALUE"""),10)</f>
        <v>10</v>
      </c>
      <c r="G238" s="18">
        <f ca="1">IFERROR(__xludf.DUMMYFUNCTION("""COMPUTED_VALUE"""),95)</f>
        <v>95</v>
      </c>
      <c r="H238" s="18">
        <f ca="1">IFERROR(__xludf.DUMMYFUNCTION("""COMPUTED_VALUE"""),0)</f>
        <v>0</v>
      </c>
      <c r="I238" s="19">
        <f ca="1">IFERROR(__xludf.DUMMYFUNCTION("""COMPUTED_VALUE"""),70)</f>
        <v>70</v>
      </c>
      <c r="J238" s="19">
        <f ca="1">IFERROR(__xludf.DUMMYFUNCTION("""COMPUTED_VALUE"""),5)</f>
        <v>5</v>
      </c>
      <c r="K238" s="20">
        <f ca="1">IFERROR(__xludf.DUMMYFUNCTION("""COMPUTED_VALUE"""),78)</f>
        <v>78</v>
      </c>
      <c r="L238" s="20">
        <f ca="1">IFERROR(__xludf.DUMMYFUNCTION("""COMPUTED_VALUE"""),-2)</f>
        <v>-2</v>
      </c>
      <c r="M238" s="21">
        <f ca="1">IFERROR(__xludf.DUMMYFUNCTION("""COMPUTED_VALUE"""),72)</f>
        <v>72</v>
      </c>
      <c r="N238" s="21">
        <f ca="1">IFERROR(__xludf.DUMMYFUNCTION("""COMPUTED_VALUE"""),0)</f>
        <v>0</v>
      </c>
      <c r="O238" s="22">
        <f ca="1">IFERROR(__xludf.DUMMYFUNCTION("""COMPUTED_VALUE"""),112)</f>
        <v>112</v>
      </c>
      <c r="P238" s="22">
        <f ca="1">IFERROR(__xludf.DUMMYFUNCTION("""COMPUTED_VALUE"""),2)</f>
        <v>2</v>
      </c>
      <c r="Q238" s="23">
        <f ca="1">IFERROR(__xludf.DUMMYFUNCTION("""COMPUTED_VALUE"""),500)</f>
        <v>500</v>
      </c>
      <c r="R238" s="23">
        <f ca="1">IFERROR(__xludf.DUMMYFUNCTION("""COMPUTED_VALUE"""),15)</f>
        <v>15</v>
      </c>
      <c r="S238" s="24" t="str">
        <f ca="1">IFERROR(__xludf.DUMMYFUNCTION("""COMPUTED_VALUE"""),"Unburden")</f>
        <v>Unburden</v>
      </c>
      <c r="T238" s="24" t="str">
        <f ca="1">IFERROR(__xludf.DUMMYFUNCTION("""COMPUTED_VALUE"""),"Poison Touch")</f>
        <v>Poison Touch</v>
      </c>
      <c r="U238" s="24" t="str">
        <f ca="1">IFERROR(__xludf.DUMMYFUNCTION("""COMPUTED_VALUE"""),"Prankster")</f>
        <v>Prankster</v>
      </c>
      <c r="V238" s="25" t="str">
        <f ca="1">IFERROR(__xludf.DUMMYFUNCTION("""COMPUTED_VALUE"""),"Lv. 28")</f>
        <v>Lv. 28</v>
      </c>
      <c r="W238" s="25"/>
      <c r="X238" s="25"/>
      <c r="Y238" s="25" t="str">
        <f ca="1">IFERROR(__xludf.DUMMYFUNCTION("""COMPUTED_VALUE"""),"Palati City (wild)")</f>
        <v>Palati City (wild)</v>
      </c>
    </row>
    <row r="239" spans="1:25" x14ac:dyDescent="0.25">
      <c r="A239" s="15" t="str">
        <f ca="1">IFERROR(__xludf.DUMMYFUNCTION("""COMPUTED_VALUE"""),"Buizel")</f>
        <v>Buizel</v>
      </c>
      <c r="B239" s="16">
        <f ca="1">IFERROR(__xludf.DUMMYFUNCTION("""COMPUTED_VALUE"""),238)</f>
        <v>238</v>
      </c>
      <c r="C239" s="3" t="str">
        <f ca="1">IFERROR(__xludf.DUMMYFUNCTION("""COMPUTED_VALUE"""),"Water")</f>
        <v>Water</v>
      </c>
      <c r="D239" s="3"/>
      <c r="E239" s="17">
        <f ca="1">IFERROR(__xludf.DUMMYFUNCTION("""COMPUTED_VALUE"""),55)</f>
        <v>55</v>
      </c>
      <c r="F239" s="17">
        <f ca="1">IFERROR(__xludf.DUMMYFUNCTION("""COMPUTED_VALUE"""),0)</f>
        <v>0</v>
      </c>
      <c r="G239" s="18">
        <f ca="1">IFERROR(__xludf.DUMMYFUNCTION("""COMPUTED_VALUE"""),65)</f>
        <v>65</v>
      </c>
      <c r="H239" s="18">
        <f ca="1">IFERROR(__xludf.DUMMYFUNCTION("""COMPUTED_VALUE"""),0)</f>
        <v>0</v>
      </c>
      <c r="I239" s="19">
        <f ca="1">IFERROR(__xludf.DUMMYFUNCTION("""COMPUTED_VALUE"""),35)</f>
        <v>35</v>
      </c>
      <c r="J239" s="19">
        <f ca="1">IFERROR(__xludf.DUMMYFUNCTION("""COMPUTED_VALUE"""),0)</f>
        <v>0</v>
      </c>
      <c r="K239" s="20">
        <f ca="1">IFERROR(__xludf.DUMMYFUNCTION("""COMPUTED_VALUE"""),60)</f>
        <v>60</v>
      </c>
      <c r="L239" s="20">
        <f ca="1">IFERROR(__xludf.DUMMYFUNCTION("""COMPUTED_VALUE"""),0)</f>
        <v>0</v>
      </c>
      <c r="M239" s="21">
        <f ca="1">IFERROR(__xludf.DUMMYFUNCTION("""COMPUTED_VALUE"""),30)</f>
        <v>30</v>
      </c>
      <c r="N239" s="21">
        <f ca="1">IFERROR(__xludf.DUMMYFUNCTION("""COMPUTED_VALUE"""),0)</f>
        <v>0</v>
      </c>
      <c r="O239" s="22">
        <f ca="1">IFERROR(__xludf.DUMMYFUNCTION("""COMPUTED_VALUE"""),85)</f>
        <v>85</v>
      </c>
      <c r="P239" s="22">
        <f ca="1">IFERROR(__xludf.DUMMYFUNCTION("""COMPUTED_VALUE"""),0)</f>
        <v>0</v>
      </c>
      <c r="Q239" s="23">
        <f ca="1">IFERROR(__xludf.DUMMYFUNCTION("""COMPUTED_VALUE"""),330)</f>
        <v>330</v>
      </c>
      <c r="R239" s="23">
        <f ca="1">IFERROR(__xludf.DUMMYFUNCTION("""COMPUTED_VALUE"""),0)</f>
        <v>0</v>
      </c>
      <c r="S239" s="24" t="str">
        <f ca="1">IFERROR(__xludf.DUMMYFUNCTION("""COMPUTED_VALUE"""),"Swift Swim")</f>
        <v>Swift Swim</v>
      </c>
      <c r="T239" s="24" t="str">
        <f ca="1">IFERROR(__xludf.DUMMYFUNCTION("""COMPUTED_VALUE"""),"Water Veil")</f>
        <v>Water Veil</v>
      </c>
      <c r="U239" s="24" t="str">
        <f ca="1">IFERROR(__xludf.DUMMYFUNCTION("""COMPUTED_VALUE"""),"Propeller Tail")</f>
        <v>Propeller Tail</v>
      </c>
      <c r="V239" s="25"/>
      <c r="W239" s="25"/>
      <c r="X239" s="25"/>
      <c r="Y239" s="25" t="str">
        <f ca="1">IFERROR(__xludf.DUMMYFUNCTION("""COMPUTED_VALUE"""),"Riverwalk Trail S, Kalami City, Asfal Hills (wild) Riverwalk Trail N, Riverwalk Trail S, Kalami City (GR)(fish)")</f>
        <v>Riverwalk Trail S, Kalami City, Asfal Hills (wild) Riverwalk Trail N, Riverwalk Trail S, Kalami City (GR)(fish)</v>
      </c>
    </row>
    <row r="240" spans="1:25" x14ac:dyDescent="0.25">
      <c r="A240" s="15" t="str">
        <f ca="1">IFERROR(__xludf.DUMMYFUNCTION("""COMPUTED_VALUE"""),"Floatzel")</f>
        <v>Floatzel</v>
      </c>
      <c r="B240" s="16">
        <f ca="1">IFERROR(__xludf.DUMMYFUNCTION("""COMPUTED_VALUE"""),239)</f>
        <v>239</v>
      </c>
      <c r="C240" s="3" t="str">
        <f ca="1">IFERROR(__xludf.DUMMYFUNCTION("""COMPUTED_VALUE"""),"Water")</f>
        <v>Water</v>
      </c>
      <c r="D240" s="3"/>
      <c r="E240" s="17">
        <f ca="1">IFERROR(__xludf.DUMMYFUNCTION("""COMPUTED_VALUE"""),85)</f>
        <v>85</v>
      </c>
      <c r="F240" s="17">
        <f ca="1">IFERROR(__xludf.DUMMYFUNCTION("""COMPUTED_VALUE"""),0)</f>
        <v>0</v>
      </c>
      <c r="G240" s="18">
        <f ca="1">IFERROR(__xludf.DUMMYFUNCTION("""COMPUTED_VALUE"""),115)</f>
        <v>115</v>
      </c>
      <c r="H240" s="18">
        <f ca="1">IFERROR(__xludf.DUMMYFUNCTION("""COMPUTED_VALUE"""),10)</f>
        <v>10</v>
      </c>
      <c r="I240" s="19">
        <f ca="1">IFERROR(__xludf.DUMMYFUNCTION("""COMPUTED_VALUE"""),65)</f>
        <v>65</v>
      </c>
      <c r="J240" s="19">
        <f ca="1">IFERROR(__xludf.DUMMYFUNCTION("""COMPUTED_VALUE"""),10)</f>
        <v>10</v>
      </c>
      <c r="K240" s="20">
        <f ca="1">IFERROR(__xludf.DUMMYFUNCTION("""COMPUTED_VALUE"""),90)</f>
        <v>90</v>
      </c>
      <c r="L240" s="20">
        <f ca="1">IFERROR(__xludf.DUMMYFUNCTION("""COMPUTED_VALUE"""),5)</f>
        <v>5</v>
      </c>
      <c r="M240" s="21">
        <f ca="1">IFERROR(__xludf.DUMMYFUNCTION("""COMPUTED_VALUE"""),60)</f>
        <v>60</v>
      </c>
      <c r="N240" s="21">
        <f ca="1">IFERROR(__xludf.DUMMYFUNCTION("""COMPUTED_VALUE"""),10)</f>
        <v>10</v>
      </c>
      <c r="O240" s="22">
        <f ca="1">IFERROR(__xludf.DUMMYFUNCTION("""COMPUTED_VALUE"""),115)</f>
        <v>115</v>
      </c>
      <c r="P240" s="22">
        <f ca="1">IFERROR(__xludf.DUMMYFUNCTION("""COMPUTED_VALUE"""),0)</f>
        <v>0</v>
      </c>
      <c r="Q240" s="23">
        <f ca="1">IFERROR(__xludf.DUMMYFUNCTION("""COMPUTED_VALUE"""),530)</f>
        <v>530</v>
      </c>
      <c r="R240" s="23">
        <f ca="1">IFERROR(__xludf.DUMMYFUNCTION("""COMPUTED_VALUE"""),35)</f>
        <v>35</v>
      </c>
      <c r="S240" s="24" t="str">
        <f ca="1">IFERROR(__xludf.DUMMYFUNCTION("""COMPUTED_VALUE"""),"Swift Swim")</f>
        <v>Swift Swim</v>
      </c>
      <c r="T240" s="24" t="str">
        <f ca="1">IFERROR(__xludf.DUMMYFUNCTION("""COMPUTED_VALUE"""),"Water Veil")</f>
        <v>Water Veil</v>
      </c>
      <c r="U240" s="24" t="str">
        <f ca="1">IFERROR(__xludf.DUMMYFUNCTION("""COMPUTED_VALUE"""),"Propeller Tail")</f>
        <v>Propeller Tail</v>
      </c>
      <c r="V240" s="25" t="str">
        <f ca="1">IFERROR(__xludf.DUMMYFUNCTION("""COMPUTED_VALUE"""),"Lv. 26")</f>
        <v>Lv. 26</v>
      </c>
      <c r="W240" s="25"/>
      <c r="X240" s="25"/>
      <c r="Y240" s="25" t="str">
        <f ca="1">IFERROR(__xludf.DUMMYFUNCTION("""COMPUTED_VALUE"""),"Buizel (evolve)")</f>
        <v>Buizel (evolve)</v>
      </c>
    </row>
    <row r="241" spans="1:25" x14ac:dyDescent="0.25">
      <c r="A241" s="15" t="str">
        <f ca="1">IFERROR(__xludf.DUMMYFUNCTION("""COMPUTED_VALUE"""),"Stunky")</f>
        <v>Stunky</v>
      </c>
      <c r="B241" s="16">
        <f ca="1">IFERROR(__xludf.DUMMYFUNCTION("""COMPUTED_VALUE"""),240)</f>
        <v>240</v>
      </c>
      <c r="C241" s="3" t="str">
        <f ca="1">IFERROR(__xludf.DUMMYFUNCTION("""COMPUTED_VALUE"""),"Poison")</f>
        <v>Poison</v>
      </c>
      <c r="D241" s="3" t="str">
        <f ca="1">IFERROR(__xludf.DUMMYFUNCTION("""COMPUTED_VALUE"""),"Dark")</f>
        <v>Dark</v>
      </c>
      <c r="E241" s="17">
        <f ca="1">IFERROR(__xludf.DUMMYFUNCTION("""COMPUTED_VALUE"""),68)</f>
        <v>68</v>
      </c>
      <c r="F241" s="17">
        <f ca="1">IFERROR(__xludf.DUMMYFUNCTION("""COMPUTED_VALUE"""),5)</f>
        <v>5</v>
      </c>
      <c r="G241" s="18">
        <f ca="1">IFERROR(__xludf.DUMMYFUNCTION("""COMPUTED_VALUE"""),63)</f>
        <v>63</v>
      </c>
      <c r="H241" s="18">
        <f ca="1">IFERROR(__xludf.DUMMYFUNCTION("""COMPUTED_VALUE"""),0)</f>
        <v>0</v>
      </c>
      <c r="I241" s="19">
        <f ca="1">IFERROR(__xludf.DUMMYFUNCTION("""COMPUTED_VALUE"""),52)</f>
        <v>52</v>
      </c>
      <c r="J241" s="19">
        <f ca="1">IFERROR(__xludf.DUMMYFUNCTION("""COMPUTED_VALUE"""),5)</f>
        <v>5</v>
      </c>
      <c r="K241" s="20">
        <f ca="1">IFERROR(__xludf.DUMMYFUNCTION("""COMPUTED_VALUE"""),41)</f>
        <v>41</v>
      </c>
      <c r="L241" s="20">
        <f ca="1">IFERROR(__xludf.DUMMYFUNCTION("""COMPUTED_VALUE"""),0)</f>
        <v>0</v>
      </c>
      <c r="M241" s="21">
        <f ca="1">IFERROR(__xludf.DUMMYFUNCTION("""COMPUTED_VALUE"""),41)</f>
        <v>41</v>
      </c>
      <c r="N241" s="21">
        <f ca="1">IFERROR(__xludf.DUMMYFUNCTION("""COMPUTED_VALUE"""),0)</f>
        <v>0</v>
      </c>
      <c r="O241" s="22">
        <f ca="1">IFERROR(__xludf.DUMMYFUNCTION("""COMPUTED_VALUE"""),74)</f>
        <v>74</v>
      </c>
      <c r="P241" s="22">
        <f ca="1">IFERROR(__xludf.DUMMYFUNCTION("""COMPUTED_VALUE"""),0)</f>
        <v>0</v>
      </c>
      <c r="Q241" s="23">
        <f ca="1">IFERROR(__xludf.DUMMYFUNCTION("""COMPUTED_VALUE"""),339)</f>
        <v>339</v>
      </c>
      <c r="R241" s="23">
        <f ca="1">IFERROR(__xludf.DUMMYFUNCTION("""COMPUTED_VALUE"""),10)</f>
        <v>10</v>
      </c>
      <c r="S241" s="24" t="str">
        <f ca="1">IFERROR(__xludf.DUMMYFUNCTION("""COMPUTED_VALUE"""),"Stench")</f>
        <v>Stench</v>
      </c>
      <c r="T241" s="24" t="str">
        <f ca="1">IFERROR(__xludf.DUMMYFUNCTION("""COMPUTED_VALUE"""),"Aftermath")</f>
        <v>Aftermath</v>
      </c>
      <c r="U241" s="24" t="str">
        <f ca="1">IFERROR(__xludf.DUMMYFUNCTION("""COMPUTED_VALUE"""),"Keen Eye")</f>
        <v>Keen Eye</v>
      </c>
      <c r="V241" s="25"/>
      <c r="W241" s="25"/>
      <c r="X241" s="25"/>
      <c r="Y241" s="25" t="str">
        <f ca="1">IFERROR(__xludf.DUMMYFUNCTION("""COMPUTED_VALUE"""),"Kalami City, Pythios Cemetery, Asfal Hills (wild)")</f>
        <v>Kalami City, Pythios Cemetery, Asfal Hills (wild)</v>
      </c>
    </row>
    <row r="242" spans="1:25" x14ac:dyDescent="0.25">
      <c r="A242" s="15" t="str">
        <f ca="1">IFERROR(__xludf.DUMMYFUNCTION("""COMPUTED_VALUE"""),"Skuntank")</f>
        <v>Skuntank</v>
      </c>
      <c r="B242" s="16">
        <f ca="1">IFERROR(__xludf.DUMMYFUNCTION("""COMPUTED_VALUE"""),241)</f>
        <v>241</v>
      </c>
      <c r="C242" s="3" t="str">
        <f ca="1">IFERROR(__xludf.DUMMYFUNCTION("""COMPUTED_VALUE"""),"Poison")</f>
        <v>Poison</v>
      </c>
      <c r="D242" s="3" t="str">
        <f ca="1">IFERROR(__xludf.DUMMYFUNCTION("""COMPUTED_VALUE"""),"Dark")</f>
        <v>Dark</v>
      </c>
      <c r="E242" s="17">
        <f ca="1">IFERROR(__xludf.DUMMYFUNCTION("""COMPUTED_VALUE"""),113)</f>
        <v>113</v>
      </c>
      <c r="F242" s="17">
        <f ca="1">IFERROR(__xludf.DUMMYFUNCTION("""COMPUTED_VALUE"""),10)</f>
        <v>10</v>
      </c>
      <c r="G242" s="18">
        <f ca="1">IFERROR(__xludf.DUMMYFUNCTION("""COMPUTED_VALUE"""),93)</f>
        <v>93</v>
      </c>
      <c r="H242" s="18">
        <f ca="1">IFERROR(__xludf.DUMMYFUNCTION("""COMPUTED_VALUE"""),0)</f>
        <v>0</v>
      </c>
      <c r="I242" s="19">
        <f ca="1">IFERROR(__xludf.DUMMYFUNCTION("""COMPUTED_VALUE"""),67)</f>
        <v>67</v>
      </c>
      <c r="J242" s="19">
        <f ca="1">IFERROR(__xludf.DUMMYFUNCTION("""COMPUTED_VALUE"""),0)</f>
        <v>0</v>
      </c>
      <c r="K242" s="20">
        <f ca="1">IFERROR(__xludf.DUMMYFUNCTION("""COMPUTED_VALUE"""),71)</f>
        <v>71</v>
      </c>
      <c r="L242" s="20">
        <f ca="1">IFERROR(__xludf.DUMMYFUNCTION("""COMPUTED_VALUE"""),0)</f>
        <v>0</v>
      </c>
      <c r="M242" s="21">
        <f ca="1">IFERROR(__xludf.DUMMYFUNCTION("""COMPUTED_VALUE"""),61)</f>
        <v>61</v>
      </c>
      <c r="N242" s="21">
        <f ca="1">IFERROR(__xludf.DUMMYFUNCTION("""COMPUTED_VALUE"""),0)</f>
        <v>0</v>
      </c>
      <c r="O242" s="22">
        <f ca="1">IFERROR(__xludf.DUMMYFUNCTION("""COMPUTED_VALUE"""),84)</f>
        <v>84</v>
      </c>
      <c r="P242" s="22">
        <f ca="1">IFERROR(__xludf.DUMMYFUNCTION("""COMPUTED_VALUE"""),0)</f>
        <v>0</v>
      </c>
      <c r="Q242" s="23">
        <f ca="1">IFERROR(__xludf.DUMMYFUNCTION("""COMPUTED_VALUE"""),489)</f>
        <v>489</v>
      </c>
      <c r="R242" s="23">
        <f ca="1">IFERROR(__xludf.DUMMYFUNCTION("""COMPUTED_VALUE"""),10)</f>
        <v>10</v>
      </c>
      <c r="S242" s="24" t="str">
        <f ca="1">IFERROR(__xludf.DUMMYFUNCTION("""COMPUTED_VALUE"""),"Stench")</f>
        <v>Stench</v>
      </c>
      <c r="T242" s="24" t="str">
        <f ca="1">IFERROR(__xludf.DUMMYFUNCTION("""COMPUTED_VALUE"""),"Aftermath")</f>
        <v>Aftermath</v>
      </c>
      <c r="U242" s="24" t="str">
        <f ca="1">IFERROR(__xludf.DUMMYFUNCTION("""COMPUTED_VALUE"""),"Keen Eye")</f>
        <v>Keen Eye</v>
      </c>
      <c r="V242" s="25" t="str">
        <f ca="1">IFERROR(__xludf.DUMMYFUNCTION("""COMPUTED_VALUE"""),"Lv. 34")</f>
        <v>Lv. 34</v>
      </c>
      <c r="W242" s="25"/>
      <c r="X242" s="25"/>
      <c r="Y242" s="25" t="str">
        <f ca="1">IFERROR(__xludf.DUMMYFUNCTION("""COMPUTED_VALUE"""),"Stunky (evolve)")</f>
        <v>Stunky (evolve)</v>
      </c>
    </row>
    <row r="243" spans="1:25" x14ac:dyDescent="0.25">
      <c r="A243" s="15" t="str">
        <f ca="1">IFERROR(__xludf.DUMMYFUNCTION("""COMPUTED_VALUE"""),"Wattrel")</f>
        <v>Wattrel</v>
      </c>
      <c r="B243" s="16">
        <f ca="1">IFERROR(__xludf.DUMMYFUNCTION("""COMPUTED_VALUE"""),242)</f>
        <v>242</v>
      </c>
      <c r="C243" s="3" t="str">
        <f ca="1">IFERROR(__xludf.DUMMYFUNCTION("""COMPUTED_VALUE"""),"Electric")</f>
        <v>Electric</v>
      </c>
      <c r="D243" s="3" t="str">
        <f ca="1">IFERROR(__xludf.DUMMYFUNCTION("""COMPUTED_VALUE"""),"Flying")</f>
        <v>Flying</v>
      </c>
      <c r="E243" s="17">
        <f ca="1">IFERROR(__xludf.DUMMYFUNCTION("""COMPUTED_VALUE"""),40)</f>
        <v>40</v>
      </c>
      <c r="F243" s="17">
        <f ca="1">IFERROR(__xludf.DUMMYFUNCTION("""COMPUTED_VALUE"""),0)</f>
        <v>0</v>
      </c>
      <c r="G243" s="18">
        <f ca="1">IFERROR(__xludf.DUMMYFUNCTION("""COMPUTED_VALUE"""),40)</f>
        <v>40</v>
      </c>
      <c r="H243" s="18">
        <f ca="1">IFERROR(__xludf.DUMMYFUNCTION("""COMPUTED_VALUE"""),0)</f>
        <v>0</v>
      </c>
      <c r="I243" s="19">
        <f ca="1">IFERROR(__xludf.DUMMYFUNCTION("""COMPUTED_VALUE"""),35)</f>
        <v>35</v>
      </c>
      <c r="J243" s="19">
        <f ca="1">IFERROR(__xludf.DUMMYFUNCTION("""COMPUTED_VALUE"""),0)</f>
        <v>0</v>
      </c>
      <c r="K243" s="20">
        <f ca="1">IFERROR(__xludf.DUMMYFUNCTION("""COMPUTED_VALUE"""),55)</f>
        <v>55</v>
      </c>
      <c r="L243" s="20">
        <f ca="1">IFERROR(__xludf.DUMMYFUNCTION("""COMPUTED_VALUE"""),0)</f>
        <v>0</v>
      </c>
      <c r="M243" s="21">
        <f ca="1">IFERROR(__xludf.DUMMYFUNCTION("""COMPUTED_VALUE"""),40)</f>
        <v>40</v>
      </c>
      <c r="N243" s="21">
        <f ca="1">IFERROR(__xludf.DUMMYFUNCTION("""COMPUTED_VALUE"""),0)</f>
        <v>0</v>
      </c>
      <c r="O243" s="22">
        <f ca="1">IFERROR(__xludf.DUMMYFUNCTION("""COMPUTED_VALUE"""),70)</f>
        <v>70</v>
      </c>
      <c r="P243" s="22">
        <f ca="1">IFERROR(__xludf.DUMMYFUNCTION("""COMPUTED_VALUE"""),0)</f>
        <v>0</v>
      </c>
      <c r="Q243" s="23">
        <f ca="1">IFERROR(__xludf.DUMMYFUNCTION("""COMPUTED_VALUE"""),280)</f>
        <v>280</v>
      </c>
      <c r="R243" s="23">
        <f ca="1">IFERROR(__xludf.DUMMYFUNCTION("""COMPUTED_VALUE"""),0)</f>
        <v>0</v>
      </c>
      <c r="S243" s="24" t="str">
        <f ca="1">IFERROR(__xludf.DUMMYFUNCTION("""COMPUTED_VALUE"""),"Wind Power")</f>
        <v>Wind Power</v>
      </c>
      <c r="T243" s="24" t="str">
        <f ca="1">IFERROR(__xludf.DUMMYFUNCTION("""COMPUTED_VALUE"""),"Volt Absorb")</f>
        <v>Volt Absorb</v>
      </c>
      <c r="U243" s="24" t="str">
        <f ca="1">IFERROR(__xludf.DUMMYFUNCTION("""COMPUTED_VALUE"""),"Competitive")</f>
        <v>Competitive</v>
      </c>
      <c r="V243" s="25"/>
      <c r="W243" s="25"/>
      <c r="X243" s="25"/>
      <c r="Y243" s="25" t="str">
        <f ca="1">IFERROR(__xludf.DUMMYFUNCTION("""COMPUTED_VALUE"""),"Pythios Cemetery, Sea of Asteri (wild)")</f>
        <v>Pythios Cemetery, Sea of Asteri (wild)</v>
      </c>
    </row>
    <row r="244" spans="1:25" x14ac:dyDescent="0.25">
      <c r="A244" s="15" t="str">
        <f ca="1">IFERROR(__xludf.DUMMYFUNCTION("""COMPUTED_VALUE"""),"Kilowattrel")</f>
        <v>Kilowattrel</v>
      </c>
      <c r="B244" s="16">
        <f ca="1">IFERROR(__xludf.DUMMYFUNCTION("""COMPUTED_VALUE"""),243)</f>
        <v>243</v>
      </c>
      <c r="C244" s="3" t="str">
        <f ca="1">IFERROR(__xludf.DUMMYFUNCTION("""COMPUTED_VALUE"""),"Electric")</f>
        <v>Electric</v>
      </c>
      <c r="D244" s="3" t="str">
        <f ca="1">IFERROR(__xludf.DUMMYFUNCTION("""COMPUTED_VALUE"""),"Flying")</f>
        <v>Flying</v>
      </c>
      <c r="E244" s="17">
        <f ca="1">IFERROR(__xludf.DUMMYFUNCTION("""COMPUTED_VALUE"""),70)</f>
        <v>70</v>
      </c>
      <c r="F244" s="17">
        <f ca="1">IFERROR(__xludf.DUMMYFUNCTION("""COMPUTED_VALUE"""),0)</f>
        <v>0</v>
      </c>
      <c r="G244" s="18">
        <f ca="1">IFERROR(__xludf.DUMMYFUNCTION("""COMPUTED_VALUE"""),70)</f>
        <v>70</v>
      </c>
      <c r="H244" s="18">
        <f ca="1">IFERROR(__xludf.DUMMYFUNCTION("""COMPUTED_VALUE"""),0)</f>
        <v>0</v>
      </c>
      <c r="I244" s="19">
        <f ca="1">IFERROR(__xludf.DUMMYFUNCTION("""COMPUTED_VALUE"""),60)</f>
        <v>60</v>
      </c>
      <c r="J244" s="19">
        <f ca="1">IFERROR(__xludf.DUMMYFUNCTION("""COMPUTED_VALUE"""),0)</f>
        <v>0</v>
      </c>
      <c r="K244" s="20">
        <f ca="1">IFERROR(__xludf.DUMMYFUNCTION("""COMPUTED_VALUE"""),105)</f>
        <v>105</v>
      </c>
      <c r="L244" s="20">
        <f ca="1">IFERROR(__xludf.DUMMYFUNCTION("""COMPUTED_VALUE"""),0)</f>
        <v>0</v>
      </c>
      <c r="M244" s="21">
        <f ca="1">IFERROR(__xludf.DUMMYFUNCTION("""COMPUTED_VALUE"""),60)</f>
        <v>60</v>
      </c>
      <c r="N244" s="21">
        <f ca="1">IFERROR(__xludf.DUMMYFUNCTION("""COMPUTED_VALUE"""),0)</f>
        <v>0</v>
      </c>
      <c r="O244" s="22">
        <f ca="1">IFERROR(__xludf.DUMMYFUNCTION("""COMPUTED_VALUE"""),125)</f>
        <v>125</v>
      </c>
      <c r="P244" s="22">
        <f ca="1">IFERROR(__xludf.DUMMYFUNCTION("""COMPUTED_VALUE"""),0)</f>
        <v>0</v>
      </c>
      <c r="Q244" s="23">
        <f ca="1">IFERROR(__xludf.DUMMYFUNCTION("""COMPUTED_VALUE"""),490)</f>
        <v>490</v>
      </c>
      <c r="R244" s="23">
        <f ca="1">IFERROR(__xludf.DUMMYFUNCTION("""COMPUTED_VALUE"""),0)</f>
        <v>0</v>
      </c>
      <c r="S244" s="24" t="str">
        <f ca="1">IFERROR(__xludf.DUMMYFUNCTION("""COMPUTED_VALUE"""),"Wind Power")</f>
        <v>Wind Power</v>
      </c>
      <c r="T244" s="24" t="str">
        <f ca="1">IFERROR(__xludf.DUMMYFUNCTION("""COMPUTED_VALUE"""),"Volt Absorb")</f>
        <v>Volt Absorb</v>
      </c>
      <c r="U244" s="24" t="str">
        <f ca="1">IFERROR(__xludf.DUMMYFUNCTION("""COMPUTED_VALUE"""),"Competitive")</f>
        <v>Competitive</v>
      </c>
      <c r="V244" s="25" t="str">
        <f ca="1">IFERROR(__xludf.DUMMYFUNCTION("""COMPUTED_VALUE"""),"Lv. 25")</f>
        <v>Lv. 25</v>
      </c>
      <c r="W244" s="25"/>
      <c r="X244" s="25"/>
      <c r="Y244" s="25" t="str">
        <f ca="1">IFERROR(__xludf.DUMMYFUNCTION("""COMPUTED_VALUE"""),"Sea of Vulcai (wild)")</f>
        <v>Sea of Vulcai (wild)</v>
      </c>
    </row>
    <row r="245" spans="1:25" x14ac:dyDescent="0.25">
      <c r="A245" s="15" t="str">
        <f ca="1">IFERROR(__xludf.DUMMYFUNCTION("""COMPUTED_VALUE"""),"Tauros")</f>
        <v>Tauros</v>
      </c>
      <c r="B245" s="16">
        <f ca="1">IFERROR(__xludf.DUMMYFUNCTION("""COMPUTED_VALUE"""),244)</f>
        <v>244</v>
      </c>
      <c r="C245" s="3" t="str">
        <f ca="1">IFERROR(__xludf.DUMMYFUNCTION("""COMPUTED_VALUE"""),"Normal")</f>
        <v>Normal</v>
      </c>
      <c r="D245" s="3"/>
      <c r="E245" s="17">
        <f ca="1">IFERROR(__xludf.DUMMYFUNCTION("""COMPUTED_VALUE"""),75)</f>
        <v>75</v>
      </c>
      <c r="F245" s="17">
        <f ca="1">IFERROR(__xludf.DUMMYFUNCTION("""COMPUTED_VALUE"""),0)</f>
        <v>0</v>
      </c>
      <c r="G245" s="18">
        <f ca="1">IFERROR(__xludf.DUMMYFUNCTION("""COMPUTED_VALUE"""),110)</f>
        <v>110</v>
      </c>
      <c r="H245" s="18">
        <f ca="1">IFERROR(__xludf.DUMMYFUNCTION("""COMPUTED_VALUE"""),10)</f>
        <v>10</v>
      </c>
      <c r="I245" s="19">
        <f ca="1">IFERROR(__xludf.DUMMYFUNCTION("""COMPUTED_VALUE"""),95)</f>
        <v>95</v>
      </c>
      <c r="J245" s="19">
        <f ca="1">IFERROR(__xludf.DUMMYFUNCTION("""COMPUTED_VALUE"""),0)</f>
        <v>0</v>
      </c>
      <c r="K245" s="20">
        <f ca="1">IFERROR(__xludf.DUMMYFUNCTION("""COMPUTED_VALUE"""),40)</f>
        <v>40</v>
      </c>
      <c r="L245" s="20">
        <f ca="1">IFERROR(__xludf.DUMMYFUNCTION("""COMPUTED_VALUE"""),0)</f>
        <v>0</v>
      </c>
      <c r="M245" s="21">
        <f ca="1">IFERROR(__xludf.DUMMYFUNCTION("""COMPUTED_VALUE"""),70)</f>
        <v>70</v>
      </c>
      <c r="N245" s="21">
        <f ca="1">IFERROR(__xludf.DUMMYFUNCTION("""COMPUTED_VALUE"""),0)</f>
        <v>0</v>
      </c>
      <c r="O245" s="22">
        <f ca="1">IFERROR(__xludf.DUMMYFUNCTION("""COMPUTED_VALUE"""),110)</f>
        <v>110</v>
      </c>
      <c r="P245" s="22">
        <f ca="1">IFERROR(__xludf.DUMMYFUNCTION("""COMPUTED_VALUE"""),0)</f>
        <v>0</v>
      </c>
      <c r="Q245" s="23">
        <f ca="1">IFERROR(__xludf.DUMMYFUNCTION("""COMPUTED_VALUE"""),500)</f>
        <v>500</v>
      </c>
      <c r="R245" s="23">
        <f ca="1">IFERROR(__xludf.DUMMYFUNCTION("""COMPUTED_VALUE"""),10)</f>
        <v>10</v>
      </c>
      <c r="S245" s="24" t="str">
        <f ca="1">IFERROR(__xludf.DUMMYFUNCTION("""COMPUTED_VALUE"""),"Intimidate")</f>
        <v>Intimidate</v>
      </c>
      <c r="T245" s="24" t="str">
        <f ca="1">IFERROR(__xludf.DUMMYFUNCTION("""COMPUTED_VALUE"""),"Anger Point")</f>
        <v>Anger Point</v>
      </c>
      <c r="U245" s="24" t="str">
        <f ca="1">IFERROR(__xludf.DUMMYFUNCTION("""COMPUTED_VALUE"""),"Sheer Force")</f>
        <v>Sheer Force</v>
      </c>
      <c r="V245" s="25"/>
      <c r="W245" s="25"/>
      <c r="X245" s="25"/>
      <c r="Y245" s="25" t="str">
        <f ca="1">IFERROR(__xludf.DUMMYFUNCTION("""COMPUTED_VALUE"""),"Asfal Hills, Kaptara Island (wild)")</f>
        <v>Asfal Hills, Kaptara Island (wild)</v>
      </c>
    </row>
    <row r="246" spans="1:25" x14ac:dyDescent="0.25">
      <c r="A246" s="15" t="str">
        <f ca="1">IFERROR(__xludf.DUMMYFUNCTION("""COMPUTED_VALUE"""),"Cyclizar")</f>
        <v>Cyclizar</v>
      </c>
      <c r="B246" s="16">
        <f ca="1">IFERROR(__xludf.DUMMYFUNCTION("""COMPUTED_VALUE"""),245)</f>
        <v>245</v>
      </c>
      <c r="C246" s="3" t="str">
        <f ca="1">IFERROR(__xludf.DUMMYFUNCTION("""COMPUTED_VALUE"""),"Dragon")</f>
        <v>Dragon</v>
      </c>
      <c r="D246" s="3" t="str">
        <f ca="1">IFERROR(__xludf.DUMMYFUNCTION("""COMPUTED_VALUE"""),"Normal")</f>
        <v>Normal</v>
      </c>
      <c r="E246" s="17">
        <f ca="1">IFERROR(__xludf.DUMMYFUNCTION("""COMPUTED_VALUE"""),70)</f>
        <v>70</v>
      </c>
      <c r="F246" s="17">
        <f ca="1">IFERROR(__xludf.DUMMYFUNCTION("""COMPUTED_VALUE"""),0)</f>
        <v>0</v>
      </c>
      <c r="G246" s="18">
        <f ca="1">IFERROR(__xludf.DUMMYFUNCTION("""COMPUTED_VALUE"""),95)</f>
        <v>95</v>
      </c>
      <c r="H246" s="18">
        <f ca="1">IFERROR(__xludf.DUMMYFUNCTION("""COMPUTED_VALUE"""),0)</f>
        <v>0</v>
      </c>
      <c r="I246" s="19">
        <f ca="1">IFERROR(__xludf.DUMMYFUNCTION("""COMPUTED_VALUE"""),70)</f>
        <v>70</v>
      </c>
      <c r="J246" s="19">
        <f ca="1">IFERROR(__xludf.DUMMYFUNCTION("""COMPUTED_VALUE"""),5)</f>
        <v>5</v>
      </c>
      <c r="K246" s="20">
        <f ca="1">IFERROR(__xludf.DUMMYFUNCTION("""COMPUTED_VALUE"""),85)</f>
        <v>85</v>
      </c>
      <c r="L246" s="20">
        <f ca="1">IFERROR(__xludf.DUMMYFUNCTION("""COMPUTED_VALUE"""),0)</f>
        <v>0</v>
      </c>
      <c r="M246" s="21">
        <f ca="1">IFERROR(__xludf.DUMMYFUNCTION("""COMPUTED_VALUE"""),70)</f>
        <v>70</v>
      </c>
      <c r="N246" s="21">
        <f ca="1">IFERROR(__xludf.DUMMYFUNCTION("""COMPUTED_VALUE"""),5)</f>
        <v>5</v>
      </c>
      <c r="O246" s="22">
        <f ca="1">IFERROR(__xludf.DUMMYFUNCTION("""COMPUTED_VALUE"""),121)</f>
        <v>121</v>
      </c>
      <c r="P246" s="22">
        <f ca="1">IFERROR(__xludf.DUMMYFUNCTION("""COMPUTED_VALUE"""),0)</f>
        <v>0</v>
      </c>
      <c r="Q246" s="23">
        <f ca="1">IFERROR(__xludf.DUMMYFUNCTION("""COMPUTED_VALUE"""),511)</f>
        <v>511</v>
      </c>
      <c r="R246" s="23">
        <f ca="1">IFERROR(__xludf.DUMMYFUNCTION("""COMPUTED_VALUE"""),10)</f>
        <v>10</v>
      </c>
      <c r="S246" s="24" t="str">
        <f ca="1">IFERROR(__xludf.DUMMYFUNCTION("""COMPUTED_VALUE"""),"Shed Skin")</f>
        <v>Shed Skin</v>
      </c>
      <c r="T246" s="25"/>
      <c r="U246" s="24" t="str">
        <f ca="1">IFERROR(__xludf.DUMMYFUNCTION("""COMPUTED_VALUE"""),"Regenerator")</f>
        <v>Regenerator</v>
      </c>
      <c r="V246" s="25"/>
      <c r="W246" s="25"/>
      <c r="X246" s="25"/>
      <c r="Y246" s="25" t="str">
        <f ca="1">IFERROR(__xludf.DUMMYFUNCTION("""COMPUTED_VALUE"""),"Fresco Isles (wild)")</f>
        <v>Fresco Isles (wild)</v>
      </c>
    </row>
    <row r="247" spans="1:25" x14ac:dyDescent="0.25">
      <c r="A247" s="15" t="str">
        <f ca="1">IFERROR(__xludf.DUMMYFUNCTION("""COMPUTED_VALUE"""),"Wimpod")</f>
        <v>Wimpod</v>
      </c>
      <c r="B247" s="16">
        <f ca="1">IFERROR(__xludf.DUMMYFUNCTION("""COMPUTED_VALUE"""),246)</f>
        <v>246</v>
      </c>
      <c r="C247" s="3" t="str">
        <f ca="1">IFERROR(__xludf.DUMMYFUNCTION("""COMPUTED_VALUE"""),"Bug")</f>
        <v>Bug</v>
      </c>
      <c r="D247" s="3" t="str">
        <f ca="1">IFERROR(__xludf.DUMMYFUNCTION("""COMPUTED_VALUE"""),"Water")</f>
        <v>Water</v>
      </c>
      <c r="E247" s="17">
        <f ca="1">IFERROR(__xludf.DUMMYFUNCTION("""COMPUTED_VALUE"""),25)</f>
        <v>25</v>
      </c>
      <c r="F247" s="17">
        <f ca="1">IFERROR(__xludf.DUMMYFUNCTION("""COMPUTED_VALUE"""),0)</f>
        <v>0</v>
      </c>
      <c r="G247" s="18">
        <f ca="1">IFERROR(__xludf.DUMMYFUNCTION("""COMPUTED_VALUE"""),35)</f>
        <v>35</v>
      </c>
      <c r="H247" s="18">
        <f ca="1">IFERROR(__xludf.DUMMYFUNCTION("""COMPUTED_VALUE"""),0)</f>
        <v>0</v>
      </c>
      <c r="I247" s="19">
        <f ca="1">IFERROR(__xludf.DUMMYFUNCTION("""COMPUTED_VALUE"""),40)</f>
        <v>40</v>
      </c>
      <c r="J247" s="19">
        <f ca="1">IFERROR(__xludf.DUMMYFUNCTION("""COMPUTED_VALUE"""),0)</f>
        <v>0</v>
      </c>
      <c r="K247" s="20">
        <f ca="1">IFERROR(__xludf.DUMMYFUNCTION("""COMPUTED_VALUE"""),20)</f>
        <v>20</v>
      </c>
      <c r="L247" s="20">
        <f ca="1">IFERROR(__xludf.DUMMYFUNCTION("""COMPUTED_VALUE"""),0)</f>
        <v>0</v>
      </c>
      <c r="M247" s="21">
        <f ca="1">IFERROR(__xludf.DUMMYFUNCTION("""COMPUTED_VALUE"""),30)</f>
        <v>30</v>
      </c>
      <c r="N247" s="21">
        <f ca="1">IFERROR(__xludf.DUMMYFUNCTION("""COMPUTED_VALUE"""),0)</f>
        <v>0</v>
      </c>
      <c r="O247" s="22">
        <f ca="1">IFERROR(__xludf.DUMMYFUNCTION("""COMPUTED_VALUE"""),80)</f>
        <v>80</v>
      </c>
      <c r="P247" s="22">
        <f ca="1">IFERROR(__xludf.DUMMYFUNCTION("""COMPUTED_VALUE"""),0)</f>
        <v>0</v>
      </c>
      <c r="Q247" s="23">
        <f ca="1">IFERROR(__xludf.DUMMYFUNCTION("""COMPUTED_VALUE"""),230)</f>
        <v>230</v>
      </c>
      <c r="R247" s="23">
        <f ca="1">IFERROR(__xludf.DUMMYFUNCTION("""COMPUTED_VALUE"""),0)</f>
        <v>0</v>
      </c>
      <c r="S247" s="24" t="str">
        <f ca="1">IFERROR(__xludf.DUMMYFUNCTION("""COMPUTED_VALUE"""),"Wimp Out")</f>
        <v>Wimp Out</v>
      </c>
      <c r="T247" s="25"/>
      <c r="U247" s="24" t="str">
        <f ca="1">IFERROR(__xludf.DUMMYFUNCTION("""COMPUTED_VALUE"""),"Defeatist")</f>
        <v>Defeatist</v>
      </c>
      <c r="V247" s="25"/>
      <c r="W247" s="25"/>
      <c r="X247" s="25"/>
      <c r="Y247" s="25" t="str">
        <f ca="1">IFERROR(__xludf.DUMMYFUNCTION("""COMPUTED_VALUE"""),"Kalami City (wild) Acrisia City, Acrisia Mountains, Wanderer`s Woods, Pythios Cemetery (surf) Acrisia City, Acrisia Mountains (OR)(fish)")</f>
        <v>Kalami City (wild) Acrisia City, Acrisia Mountains, Wanderer`s Woods, Pythios Cemetery (surf) Acrisia City, Acrisia Mountains (OR)(fish)</v>
      </c>
    </row>
    <row r="248" spans="1:25" x14ac:dyDescent="0.25">
      <c r="A248" s="15" t="str">
        <f ca="1">IFERROR(__xludf.DUMMYFUNCTION("""COMPUTED_VALUE"""),"Golisopod")</f>
        <v>Golisopod</v>
      </c>
      <c r="B248" s="16">
        <f ca="1">IFERROR(__xludf.DUMMYFUNCTION("""COMPUTED_VALUE"""),247)</f>
        <v>247</v>
      </c>
      <c r="C248" s="3" t="str">
        <f ca="1">IFERROR(__xludf.DUMMYFUNCTION("""COMPUTED_VALUE"""),"Bug")</f>
        <v>Bug</v>
      </c>
      <c r="D248" s="3" t="str">
        <f ca="1">IFERROR(__xludf.DUMMYFUNCTION("""COMPUTED_VALUE"""),"Water")</f>
        <v>Water</v>
      </c>
      <c r="E248" s="17">
        <f ca="1">IFERROR(__xludf.DUMMYFUNCTION("""COMPUTED_VALUE"""),75)</f>
        <v>75</v>
      </c>
      <c r="F248" s="17">
        <f ca="1">IFERROR(__xludf.DUMMYFUNCTION("""COMPUTED_VALUE"""),0)</f>
        <v>0</v>
      </c>
      <c r="G248" s="18">
        <f ca="1">IFERROR(__xludf.DUMMYFUNCTION("""COMPUTED_VALUE"""),125)</f>
        <v>125</v>
      </c>
      <c r="H248" s="18">
        <f ca="1">IFERROR(__xludf.DUMMYFUNCTION("""COMPUTED_VALUE"""),0)</f>
        <v>0</v>
      </c>
      <c r="I248" s="19">
        <f ca="1">IFERROR(__xludf.DUMMYFUNCTION("""COMPUTED_VALUE"""),140)</f>
        <v>140</v>
      </c>
      <c r="J248" s="19">
        <f ca="1">IFERROR(__xludf.DUMMYFUNCTION("""COMPUTED_VALUE"""),0)</f>
        <v>0</v>
      </c>
      <c r="K248" s="20">
        <f ca="1">IFERROR(__xludf.DUMMYFUNCTION("""COMPUTED_VALUE"""),60)</f>
        <v>60</v>
      </c>
      <c r="L248" s="20">
        <f ca="1">IFERROR(__xludf.DUMMYFUNCTION("""COMPUTED_VALUE"""),0)</f>
        <v>0</v>
      </c>
      <c r="M248" s="21">
        <f ca="1">IFERROR(__xludf.DUMMYFUNCTION("""COMPUTED_VALUE"""),90)</f>
        <v>90</v>
      </c>
      <c r="N248" s="21">
        <f ca="1">IFERROR(__xludf.DUMMYFUNCTION("""COMPUTED_VALUE"""),0)</f>
        <v>0</v>
      </c>
      <c r="O248" s="22">
        <f ca="1">IFERROR(__xludf.DUMMYFUNCTION("""COMPUTED_VALUE"""),40)</f>
        <v>40</v>
      </c>
      <c r="P248" s="22">
        <f ca="1">IFERROR(__xludf.DUMMYFUNCTION("""COMPUTED_VALUE"""),0)</f>
        <v>0</v>
      </c>
      <c r="Q248" s="23">
        <f ca="1">IFERROR(__xludf.DUMMYFUNCTION("""COMPUTED_VALUE"""),530)</f>
        <v>530</v>
      </c>
      <c r="R248" s="23">
        <f ca="1">IFERROR(__xludf.DUMMYFUNCTION("""COMPUTED_VALUE"""),0)</f>
        <v>0</v>
      </c>
      <c r="S248" s="24" t="str">
        <f ca="1">IFERROR(__xludf.DUMMYFUNCTION("""COMPUTED_VALUE"""),"Emergency Exit")</f>
        <v>Emergency Exit</v>
      </c>
      <c r="T248" s="25"/>
      <c r="U248" s="24" t="str">
        <f ca="1">IFERROR(__xludf.DUMMYFUNCTION("""COMPUTED_VALUE"""),"Anger Shell")</f>
        <v>Anger Shell</v>
      </c>
      <c r="V248" s="25" t="str">
        <f ca="1">IFERROR(__xludf.DUMMYFUNCTION("""COMPUTED_VALUE"""),"Lv. 30")</f>
        <v>Lv. 30</v>
      </c>
      <c r="W248" s="25"/>
      <c r="X248" s="25"/>
      <c r="Y248" s="25" t="str">
        <f ca="1">IFERROR(__xludf.DUMMYFUNCTION("""COMPUTED_VALUE"""),"Wimpod (evolve)")</f>
        <v>Wimpod (evolve)</v>
      </c>
    </row>
    <row r="249" spans="1:25" x14ac:dyDescent="0.25">
      <c r="A249" s="15" t="str">
        <f ca="1">IFERROR(__xludf.DUMMYFUNCTION("""COMPUTED_VALUE"""),"Pichu")</f>
        <v>Pichu</v>
      </c>
      <c r="B249" s="16">
        <f ca="1">IFERROR(__xludf.DUMMYFUNCTION("""COMPUTED_VALUE"""),248)</f>
        <v>248</v>
      </c>
      <c r="C249" s="3" t="str">
        <f ca="1">IFERROR(__xludf.DUMMYFUNCTION("""COMPUTED_VALUE"""),"Electric")</f>
        <v>Electric</v>
      </c>
      <c r="D249" s="3"/>
      <c r="E249" s="17">
        <f ca="1">IFERROR(__xludf.DUMMYFUNCTION("""COMPUTED_VALUE"""),20)</f>
        <v>20</v>
      </c>
      <c r="F249" s="17">
        <f ca="1">IFERROR(__xludf.DUMMYFUNCTION("""COMPUTED_VALUE"""),0)</f>
        <v>0</v>
      </c>
      <c r="G249" s="18">
        <f ca="1">IFERROR(__xludf.DUMMYFUNCTION("""COMPUTED_VALUE"""),40)</f>
        <v>40</v>
      </c>
      <c r="H249" s="18">
        <f ca="1">IFERROR(__xludf.DUMMYFUNCTION("""COMPUTED_VALUE"""),0)</f>
        <v>0</v>
      </c>
      <c r="I249" s="19">
        <f ca="1">IFERROR(__xludf.DUMMYFUNCTION("""COMPUTED_VALUE"""),15)</f>
        <v>15</v>
      </c>
      <c r="J249" s="19">
        <f ca="1">IFERROR(__xludf.DUMMYFUNCTION("""COMPUTED_VALUE"""),0)</f>
        <v>0</v>
      </c>
      <c r="K249" s="20">
        <f ca="1">IFERROR(__xludf.DUMMYFUNCTION("""COMPUTED_VALUE"""),35)</f>
        <v>35</v>
      </c>
      <c r="L249" s="20">
        <f ca="1">IFERROR(__xludf.DUMMYFUNCTION("""COMPUTED_VALUE"""),0)</f>
        <v>0</v>
      </c>
      <c r="M249" s="21">
        <f ca="1">IFERROR(__xludf.DUMMYFUNCTION("""COMPUTED_VALUE"""),35)</f>
        <v>35</v>
      </c>
      <c r="N249" s="21">
        <f ca="1">IFERROR(__xludf.DUMMYFUNCTION("""COMPUTED_VALUE"""),0)</f>
        <v>0</v>
      </c>
      <c r="O249" s="22">
        <f ca="1">IFERROR(__xludf.DUMMYFUNCTION("""COMPUTED_VALUE"""),60)</f>
        <v>60</v>
      </c>
      <c r="P249" s="22">
        <f ca="1">IFERROR(__xludf.DUMMYFUNCTION("""COMPUTED_VALUE"""),0)</f>
        <v>0</v>
      </c>
      <c r="Q249" s="23">
        <f ca="1">IFERROR(__xludf.DUMMYFUNCTION("""COMPUTED_VALUE"""),205)</f>
        <v>205</v>
      </c>
      <c r="R249" s="23">
        <f ca="1">IFERROR(__xludf.DUMMYFUNCTION("""COMPUTED_VALUE"""),0)</f>
        <v>0</v>
      </c>
      <c r="S249" s="24" t="str">
        <f ca="1">IFERROR(__xludf.DUMMYFUNCTION("""COMPUTED_VALUE"""),"Static")</f>
        <v>Static</v>
      </c>
      <c r="T249" s="25"/>
      <c r="U249" s="24" t="str">
        <f ca="1">IFERROR(__xludf.DUMMYFUNCTION("""COMPUTED_VALUE"""),"Lightning Rod")</f>
        <v>Lightning Rod</v>
      </c>
      <c r="V249" s="25"/>
      <c r="W249" s="25"/>
      <c r="X249" s="25"/>
      <c r="Y249" s="25" t="str">
        <f ca="1">IFERROR(__xludf.DUMMYFUNCTION("""COMPUTED_VALUE"""),"Acrisia Mountains Peak, Wanderer`s Woods (wild)")</f>
        <v>Acrisia Mountains Peak, Wanderer`s Woods (wild)</v>
      </c>
    </row>
    <row r="250" spans="1:25" x14ac:dyDescent="0.25">
      <c r="A250" s="15" t="str">
        <f ca="1">IFERROR(__xludf.DUMMYFUNCTION("""COMPUTED_VALUE"""),"Pikachu")</f>
        <v>Pikachu</v>
      </c>
      <c r="B250" s="16">
        <f ca="1">IFERROR(__xludf.DUMMYFUNCTION("""COMPUTED_VALUE"""),249)</f>
        <v>249</v>
      </c>
      <c r="C250" s="3" t="str">
        <f ca="1">IFERROR(__xludf.DUMMYFUNCTION("""COMPUTED_VALUE"""),"Electric")</f>
        <v>Electric</v>
      </c>
      <c r="D250" s="3"/>
      <c r="E250" s="17">
        <f ca="1">IFERROR(__xludf.DUMMYFUNCTION("""COMPUTED_VALUE"""),35)</f>
        <v>35</v>
      </c>
      <c r="F250" s="17">
        <f ca="1">IFERROR(__xludf.DUMMYFUNCTION("""COMPUTED_VALUE"""),0)</f>
        <v>0</v>
      </c>
      <c r="G250" s="18">
        <f ca="1">IFERROR(__xludf.DUMMYFUNCTION("""COMPUTED_VALUE"""),55)</f>
        <v>55</v>
      </c>
      <c r="H250" s="18">
        <f ca="1">IFERROR(__xludf.DUMMYFUNCTION("""COMPUTED_VALUE"""),0)</f>
        <v>0</v>
      </c>
      <c r="I250" s="19">
        <f ca="1">IFERROR(__xludf.DUMMYFUNCTION("""COMPUTED_VALUE"""),40)</f>
        <v>40</v>
      </c>
      <c r="J250" s="19">
        <f ca="1">IFERROR(__xludf.DUMMYFUNCTION("""COMPUTED_VALUE"""),0)</f>
        <v>0</v>
      </c>
      <c r="K250" s="20">
        <f ca="1">IFERROR(__xludf.DUMMYFUNCTION("""COMPUTED_VALUE"""),50)</f>
        <v>50</v>
      </c>
      <c r="L250" s="20">
        <f ca="1">IFERROR(__xludf.DUMMYFUNCTION("""COMPUTED_VALUE"""),0)</f>
        <v>0</v>
      </c>
      <c r="M250" s="21">
        <f ca="1">IFERROR(__xludf.DUMMYFUNCTION("""COMPUTED_VALUE"""),50)</f>
        <v>50</v>
      </c>
      <c r="N250" s="21">
        <f ca="1">IFERROR(__xludf.DUMMYFUNCTION("""COMPUTED_VALUE"""),0)</f>
        <v>0</v>
      </c>
      <c r="O250" s="22">
        <f ca="1">IFERROR(__xludf.DUMMYFUNCTION("""COMPUTED_VALUE"""),90)</f>
        <v>90</v>
      </c>
      <c r="P250" s="22">
        <f ca="1">IFERROR(__xludf.DUMMYFUNCTION("""COMPUTED_VALUE"""),0)</f>
        <v>0</v>
      </c>
      <c r="Q250" s="23">
        <f ca="1">IFERROR(__xludf.DUMMYFUNCTION("""COMPUTED_VALUE"""),320)</f>
        <v>320</v>
      </c>
      <c r="R250" s="23">
        <f ca="1">IFERROR(__xludf.DUMMYFUNCTION("""COMPUTED_VALUE"""),0)</f>
        <v>0</v>
      </c>
      <c r="S250" s="24" t="str">
        <f ca="1">IFERROR(__xludf.DUMMYFUNCTION("""COMPUTED_VALUE"""),"Static")</f>
        <v>Static</v>
      </c>
      <c r="T250" s="25"/>
      <c r="U250" s="24" t="str">
        <f ca="1">IFERROR(__xludf.DUMMYFUNCTION("""COMPUTED_VALUE"""),"Lightning Rod")</f>
        <v>Lightning Rod</v>
      </c>
      <c r="V250" s="25" t="str">
        <f ca="1">IFERROR(__xludf.DUMMYFUNCTION("""COMPUTED_VALUE"""),"Lv. 15")</f>
        <v>Lv. 15</v>
      </c>
      <c r="W250" s="25"/>
      <c r="X250" s="25" t="str">
        <f ca="1">IFERROR(__xludf.DUMMYFUNCTION("""COMPUTED_VALUE"""),"Light Ball")</f>
        <v>Light Ball</v>
      </c>
      <c r="Y250" s="25" t="str">
        <f ca="1">IFERROR(__xludf.DUMMYFUNCTION("""COMPUTED_VALUE"""),"Wanderer`s Woods (wild)")</f>
        <v>Wanderer`s Woods (wild)</v>
      </c>
    </row>
    <row r="251" spans="1:25" x14ac:dyDescent="0.25">
      <c r="A251" s="15" t="str">
        <f ca="1">IFERROR(__xludf.DUMMYFUNCTION("""COMPUTED_VALUE"""),"Raichu")</f>
        <v>Raichu</v>
      </c>
      <c r="B251" s="16">
        <f ca="1">IFERROR(__xludf.DUMMYFUNCTION("""COMPUTED_VALUE"""),250)</f>
        <v>250</v>
      </c>
      <c r="C251" s="3" t="str">
        <f ca="1">IFERROR(__xludf.DUMMYFUNCTION("""COMPUTED_VALUE"""),"Electric")</f>
        <v>Electric</v>
      </c>
      <c r="D251" s="3"/>
      <c r="E251" s="17">
        <f ca="1">IFERROR(__xludf.DUMMYFUNCTION("""COMPUTED_VALUE"""),80)</f>
        <v>80</v>
      </c>
      <c r="F251" s="17">
        <f ca="1">IFERROR(__xludf.DUMMYFUNCTION("""COMPUTED_VALUE"""),20)</f>
        <v>20</v>
      </c>
      <c r="G251" s="18">
        <f ca="1">IFERROR(__xludf.DUMMYFUNCTION("""COMPUTED_VALUE"""),85)</f>
        <v>85</v>
      </c>
      <c r="H251" s="18">
        <f ca="1">IFERROR(__xludf.DUMMYFUNCTION("""COMPUTED_VALUE"""),-5)</f>
        <v>-5</v>
      </c>
      <c r="I251" s="19">
        <f ca="1">IFERROR(__xludf.DUMMYFUNCTION("""COMPUTED_VALUE"""),55)</f>
        <v>55</v>
      </c>
      <c r="J251" s="19">
        <f ca="1">IFERROR(__xludf.DUMMYFUNCTION("""COMPUTED_VALUE"""),0)</f>
        <v>0</v>
      </c>
      <c r="K251" s="20">
        <f ca="1">IFERROR(__xludf.DUMMYFUNCTION("""COMPUTED_VALUE"""),90)</f>
        <v>90</v>
      </c>
      <c r="L251" s="20">
        <f ca="1">IFERROR(__xludf.DUMMYFUNCTION("""COMPUTED_VALUE"""),0)</f>
        <v>0</v>
      </c>
      <c r="M251" s="21">
        <f ca="1">IFERROR(__xludf.DUMMYFUNCTION("""COMPUTED_VALUE"""),80)</f>
        <v>80</v>
      </c>
      <c r="N251" s="21">
        <f ca="1">IFERROR(__xludf.DUMMYFUNCTION("""COMPUTED_VALUE"""),0)</f>
        <v>0</v>
      </c>
      <c r="O251" s="22">
        <f ca="1">IFERROR(__xludf.DUMMYFUNCTION("""COMPUTED_VALUE"""),120)</f>
        <v>120</v>
      </c>
      <c r="P251" s="22">
        <f ca="1">IFERROR(__xludf.DUMMYFUNCTION("""COMPUTED_VALUE"""),10)</f>
        <v>10</v>
      </c>
      <c r="Q251" s="23">
        <f ca="1">IFERROR(__xludf.DUMMYFUNCTION("""COMPUTED_VALUE"""),510)</f>
        <v>510</v>
      </c>
      <c r="R251" s="23">
        <f ca="1">IFERROR(__xludf.DUMMYFUNCTION("""COMPUTED_VALUE"""),25)</f>
        <v>25</v>
      </c>
      <c r="S251" s="24" t="str">
        <f ca="1">IFERROR(__xludf.DUMMYFUNCTION("""COMPUTED_VALUE"""),"Static")</f>
        <v>Static</v>
      </c>
      <c r="T251" s="25"/>
      <c r="U251" s="24" t="str">
        <f ca="1">IFERROR(__xludf.DUMMYFUNCTION("""COMPUTED_VALUE"""),"Lightning Rod")</f>
        <v>Lightning Rod</v>
      </c>
      <c r="V251" s="25" t="str">
        <f ca="1">IFERROR(__xludf.DUMMYFUNCTION("""COMPUTED_VALUE"""),"Thunder Stone")</f>
        <v>Thunder Stone</v>
      </c>
      <c r="W251" s="25"/>
      <c r="X251" s="25"/>
      <c r="Y251" s="25" t="str">
        <f ca="1">IFERROR(__xludf.DUMMYFUNCTION("""COMPUTED_VALUE"""),"Pikachu (evolve)")</f>
        <v>Pikachu (evolve)</v>
      </c>
    </row>
    <row r="252" spans="1:25" x14ac:dyDescent="0.25">
      <c r="A252" s="15" t="str">
        <f ca="1">IFERROR(__xludf.DUMMYFUNCTION("""COMPUTED_VALUE"""),"Mimikyu")</f>
        <v>Mimikyu</v>
      </c>
      <c r="B252" s="16">
        <f ca="1">IFERROR(__xludf.DUMMYFUNCTION("""COMPUTED_VALUE"""),251)</f>
        <v>251</v>
      </c>
      <c r="C252" s="3" t="str">
        <f ca="1">IFERROR(__xludf.DUMMYFUNCTION("""COMPUTED_VALUE"""),"Ghost")</f>
        <v>Ghost</v>
      </c>
      <c r="D252" s="3" t="str">
        <f ca="1">IFERROR(__xludf.DUMMYFUNCTION("""COMPUTED_VALUE"""),"Fairy")</f>
        <v>Fairy</v>
      </c>
      <c r="E252" s="17">
        <f ca="1">IFERROR(__xludf.DUMMYFUNCTION("""COMPUTED_VALUE"""),65)</f>
        <v>65</v>
      </c>
      <c r="F252" s="17">
        <f ca="1">IFERROR(__xludf.DUMMYFUNCTION("""COMPUTED_VALUE"""),10)</f>
        <v>10</v>
      </c>
      <c r="G252" s="18">
        <f ca="1">IFERROR(__xludf.DUMMYFUNCTION("""COMPUTED_VALUE"""),80)</f>
        <v>80</v>
      </c>
      <c r="H252" s="18">
        <f ca="1">IFERROR(__xludf.DUMMYFUNCTION("""COMPUTED_VALUE"""),-10)</f>
        <v>-10</v>
      </c>
      <c r="I252" s="19">
        <f ca="1">IFERROR(__xludf.DUMMYFUNCTION("""COMPUTED_VALUE"""),90)</f>
        <v>90</v>
      </c>
      <c r="J252" s="19">
        <f ca="1">IFERROR(__xludf.DUMMYFUNCTION("""COMPUTED_VALUE"""),10)</f>
        <v>10</v>
      </c>
      <c r="K252" s="20">
        <f ca="1">IFERROR(__xludf.DUMMYFUNCTION("""COMPUTED_VALUE"""),50)</f>
        <v>50</v>
      </c>
      <c r="L252" s="20">
        <f ca="1">IFERROR(__xludf.DUMMYFUNCTION("""COMPUTED_VALUE"""),0)</f>
        <v>0</v>
      </c>
      <c r="M252" s="21">
        <f ca="1">IFERROR(__xludf.DUMMYFUNCTION("""COMPUTED_VALUE"""),105)</f>
        <v>105</v>
      </c>
      <c r="N252" s="21">
        <f ca="1">IFERROR(__xludf.DUMMYFUNCTION("""COMPUTED_VALUE"""),0)</f>
        <v>0</v>
      </c>
      <c r="O252" s="22">
        <f ca="1">IFERROR(__xludf.DUMMYFUNCTION("""COMPUTED_VALUE"""),96)</f>
        <v>96</v>
      </c>
      <c r="P252" s="22">
        <f ca="1">IFERROR(__xludf.DUMMYFUNCTION("""COMPUTED_VALUE"""),0)</f>
        <v>0</v>
      </c>
      <c r="Q252" s="23">
        <f ca="1">IFERROR(__xludf.DUMMYFUNCTION("""COMPUTED_VALUE"""),486)</f>
        <v>486</v>
      </c>
      <c r="R252" s="23">
        <f ca="1">IFERROR(__xludf.DUMMYFUNCTION("""COMPUTED_VALUE"""),10)</f>
        <v>10</v>
      </c>
      <c r="S252" s="24" t="str">
        <f ca="1">IFERROR(__xludf.DUMMYFUNCTION("""COMPUTED_VALUE"""),"Disguise")</f>
        <v>Disguise</v>
      </c>
      <c r="T252" s="25"/>
      <c r="U252" s="25"/>
      <c r="V252" s="25"/>
      <c r="W252" s="25"/>
      <c r="X252" s="25" t="str">
        <f ca="1">IFERROR(__xludf.DUMMYFUNCTION("""COMPUTED_VALUE"""),"Chesto Berry")</f>
        <v>Chesto Berry</v>
      </c>
      <c r="Y252" s="25" t="str">
        <f ca="1">IFERROR(__xludf.DUMMYFUNCTION("""COMPUTED_VALUE"""),"Pythios Cemetery, Port Pello (wild)")</f>
        <v>Pythios Cemetery, Port Pello (wild)</v>
      </c>
    </row>
    <row r="253" spans="1:25" x14ac:dyDescent="0.25">
      <c r="A253" s="15" t="str">
        <f ca="1">IFERROR(__xludf.DUMMYFUNCTION("""COMPUTED_VALUE"""),"Ponyta")</f>
        <v>Ponyta</v>
      </c>
      <c r="B253" s="16">
        <f ca="1">IFERROR(__xludf.DUMMYFUNCTION("""COMPUTED_VALUE"""),252)</f>
        <v>252</v>
      </c>
      <c r="C253" s="3" t="str">
        <f ca="1">IFERROR(__xludf.DUMMYFUNCTION("""COMPUTED_VALUE"""),"Fire")</f>
        <v>Fire</v>
      </c>
      <c r="D253" s="3"/>
      <c r="E253" s="17">
        <f ca="1">IFERROR(__xludf.DUMMYFUNCTION("""COMPUTED_VALUE"""),50)</f>
        <v>50</v>
      </c>
      <c r="F253" s="17">
        <f ca="1">IFERROR(__xludf.DUMMYFUNCTION("""COMPUTED_VALUE"""),0)</f>
        <v>0</v>
      </c>
      <c r="G253" s="18">
        <f ca="1">IFERROR(__xludf.DUMMYFUNCTION("""COMPUTED_VALUE"""),85)</f>
        <v>85</v>
      </c>
      <c r="H253" s="18">
        <f ca="1">IFERROR(__xludf.DUMMYFUNCTION("""COMPUTED_VALUE"""),0)</f>
        <v>0</v>
      </c>
      <c r="I253" s="19">
        <f ca="1">IFERROR(__xludf.DUMMYFUNCTION("""COMPUTED_VALUE"""),55)</f>
        <v>55</v>
      </c>
      <c r="J253" s="19">
        <f ca="1">IFERROR(__xludf.DUMMYFUNCTION("""COMPUTED_VALUE"""),0)</f>
        <v>0</v>
      </c>
      <c r="K253" s="20">
        <f ca="1">IFERROR(__xludf.DUMMYFUNCTION("""COMPUTED_VALUE"""),65)</f>
        <v>65</v>
      </c>
      <c r="L253" s="20">
        <f ca="1">IFERROR(__xludf.DUMMYFUNCTION("""COMPUTED_VALUE"""),0)</f>
        <v>0</v>
      </c>
      <c r="M253" s="21">
        <f ca="1">IFERROR(__xludf.DUMMYFUNCTION("""COMPUTED_VALUE"""),65)</f>
        <v>65</v>
      </c>
      <c r="N253" s="21">
        <f ca="1">IFERROR(__xludf.DUMMYFUNCTION("""COMPUTED_VALUE"""),0)</f>
        <v>0</v>
      </c>
      <c r="O253" s="22">
        <f ca="1">IFERROR(__xludf.DUMMYFUNCTION("""COMPUTED_VALUE"""),90)</f>
        <v>90</v>
      </c>
      <c r="P253" s="22">
        <f ca="1">IFERROR(__xludf.DUMMYFUNCTION("""COMPUTED_VALUE"""),0)</f>
        <v>0</v>
      </c>
      <c r="Q253" s="23">
        <f ca="1">IFERROR(__xludf.DUMMYFUNCTION("""COMPUTED_VALUE"""),410)</f>
        <v>410</v>
      </c>
      <c r="R253" s="23">
        <f ca="1">IFERROR(__xludf.DUMMYFUNCTION("""COMPUTED_VALUE"""),0)</f>
        <v>0</v>
      </c>
      <c r="S253" s="24" t="str">
        <f ca="1">IFERROR(__xludf.DUMMYFUNCTION("""COMPUTED_VALUE"""),"Run Away")</f>
        <v>Run Away</v>
      </c>
      <c r="T253" s="24" t="str">
        <f ca="1">IFERROR(__xludf.DUMMYFUNCTION("""COMPUTED_VALUE"""),"Flash Fire")</f>
        <v>Flash Fire</v>
      </c>
      <c r="U253" s="24" t="str">
        <f ca="1">IFERROR(__xludf.DUMMYFUNCTION("""COMPUTED_VALUE"""),"Flame Body")</f>
        <v>Flame Body</v>
      </c>
      <c r="V253" s="25"/>
      <c r="W253" s="25"/>
      <c r="X253" s="25"/>
      <c r="Y253" s="25" t="str">
        <f ca="1">IFERROR(__xludf.DUMMYFUNCTION("""COMPUTED_VALUE"""),"Riverwalk Trail N, Myrrini Island (wild)")</f>
        <v>Riverwalk Trail N, Myrrini Island (wild)</v>
      </c>
    </row>
    <row r="254" spans="1:25" x14ac:dyDescent="0.25">
      <c r="A254" s="15" t="str">
        <f ca="1">IFERROR(__xludf.DUMMYFUNCTION("""COMPUTED_VALUE"""),"Rapidash")</f>
        <v>Rapidash</v>
      </c>
      <c r="B254" s="16">
        <f ca="1">IFERROR(__xludf.DUMMYFUNCTION("""COMPUTED_VALUE"""),253)</f>
        <v>253</v>
      </c>
      <c r="C254" s="3" t="str">
        <f ca="1">IFERROR(__xludf.DUMMYFUNCTION("""COMPUTED_VALUE"""),"Fire")</f>
        <v>Fire</v>
      </c>
      <c r="D254" s="3"/>
      <c r="E254" s="17">
        <f ca="1">IFERROR(__xludf.DUMMYFUNCTION("""COMPUTED_VALUE"""),65)</f>
        <v>65</v>
      </c>
      <c r="F254" s="17">
        <f ca="1">IFERROR(__xludf.DUMMYFUNCTION("""COMPUTED_VALUE"""),0)</f>
        <v>0</v>
      </c>
      <c r="G254" s="18">
        <f ca="1">IFERROR(__xludf.DUMMYFUNCTION("""COMPUTED_VALUE"""),100)</f>
        <v>100</v>
      </c>
      <c r="H254" s="18">
        <f ca="1">IFERROR(__xludf.DUMMYFUNCTION("""COMPUTED_VALUE"""),0)</f>
        <v>0</v>
      </c>
      <c r="I254" s="19">
        <f ca="1">IFERROR(__xludf.DUMMYFUNCTION("""COMPUTED_VALUE"""),70)</f>
        <v>70</v>
      </c>
      <c r="J254" s="19">
        <f ca="1">IFERROR(__xludf.DUMMYFUNCTION("""COMPUTED_VALUE"""),0)</f>
        <v>0</v>
      </c>
      <c r="K254" s="20">
        <f ca="1">IFERROR(__xludf.DUMMYFUNCTION("""COMPUTED_VALUE"""),80)</f>
        <v>80</v>
      </c>
      <c r="L254" s="20">
        <f ca="1">IFERROR(__xludf.DUMMYFUNCTION("""COMPUTED_VALUE"""),0)</f>
        <v>0</v>
      </c>
      <c r="M254" s="21">
        <f ca="1">IFERROR(__xludf.DUMMYFUNCTION("""COMPUTED_VALUE"""),80)</f>
        <v>80</v>
      </c>
      <c r="N254" s="21">
        <f ca="1">IFERROR(__xludf.DUMMYFUNCTION("""COMPUTED_VALUE"""),0)</f>
        <v>0</v>
      </c>
      <c r="O254" s="22">
        <f ca="1">IFERROR(__xludf.DUMMYFUNCTION("""COMPUTED_VALUE"""),115)</f>
        <v>115</v>
      </c>
      <c r="P254" s="22">
        <f ca="1">IFERROR(__xludf.DUMMYFUNCTION("""COMPUTED_VALUE"""),10)</f>
        <v>10</v>
      </c>
      <c r="Q254" s="23">
        <f ca="1">IFERROR(__xludf.DUMMYFUNCTION("""COMPUTED_VALUE"""),510)</f>
        <v>510</v>
      </c>
      <c r="R254" s="23">
        <f ca="1">IFERROR(__xludf.DUMMYFUNCTION("""COMPUTED_VALUE"""),10)</f>
        <v>10</v>
      </c>
      <c r="S254" s="24" t="str">
        <f ca="1">IFERROR(__xludf.DUMMYFUNCTION("""COMPUTED_VALUE"""),"Run Away")</f>
        <v>Run Away</v>
      </c>
      <c r="T254" s="24" t="str">
        <f ca="1">IFERROR(__xludf.DUMMYFUNCTION("""COMPUTED_VALUE"""),"Flash Fire")</f>
        <v>Flash Fire</v>
      </c>
      <c r="U254" s="24" t="str">
        <f ca="1">IFERROR(__xludf.DUMMYFUNCTION("""COMPUTED_VALUE"""),"Flame Body")</f>
        <v>Flame Body</v>
      </c>
      <c r="V254" s="25" t="str">
        <f ca="1">IFERROR(__xludf.DUMMYFUNCTION("""COMPUTED_VALUE"""),"Lv. 30")</f>
        <v>Lv. 30</v>
      </c>
      <c r="W254" s="25"/>
      <c r="X254" s="25"/>
      <c r="Y254" s="25" t="str">
        <f ca="1">IFERROR(__xludf.DUMMYFUNCTION("""COMPUTED_VALUE"""),"Port Pello (wild)")</f>
        <v>Port Pello (wild)</v>
      </c>
    </row>
    <row r="255" spans="1:25" x14ac:dyDescent="0.25">
      <c r="A255" s="15" t="str">
        <f ca="1">IFERROR(__xludf.DUMMYFUNCTION("""COMPUTED_VALUE"""),"Corsola")</f>
        <v>Corsola</v>
      </c>
      <c r="B255" s="16">
        <f ca="1">IFERROR(__xludf.DUMMYFUNCTION("""COMPUTED_VALUE"""),254)</f>
        <v>254</v>
      </c>
      <c r="C255" s="3" t="str">
        <f ca="1">IFERROR(__xludf.DUMMYFUNCTION("""COMPUTED_VALUE"""),"Water")</f>
        <v>Water</v>
      </c>
      <c r="D255" s="3" t="str">
        <f ca="1">IFERROR(__xludf.DUMMYFUNCTION("""COMPUTED_VALUE"""),"Rock")</f>
        <v>Rock</v>
      </c>
      <c r="E255" s="17">
        <f ca="1">IFERROR(__xludf.DUMMYFUNCTION("""COMPUTED_VALUE"""),65)</f>
        <v>65</v>
      </c>
      <c r="F255" s="17">
        <f ca="1">IFERROR(__xludf.DUMMYFUNCTION("""COMPUTED_VALUE"""),10)</f>
        <v>10</v>
      </c>
      <c r="G255" s="18">
        <f ca="1">IFERROR(__xludf.DUMMYFUNCTION("""COMPUTED_VALUE"""),55)</f>
        <v>55</v>
      </c>
      <c r="H255" s="18">
        <f ca="1">IFERROR(__xludf.DUMMYFUNCTION("""COMPUTED_VALUE"""),0)</f>
        <v>0</v>
      </c>
      <c r="I255" s="19">
        <f ca="1">IFERROR(__xludf.DUMMYFUNCTION("""COMPUTED_VALUE"""),95)</f>
        <v>95</v>
      </c>
      <c r="J255" s="19">
        <f ca="1">IFERROR(__xludf.DUMMYFUNCTION("""COMPUTED_VALUE"""),10)</f>
        <v>10</v>
      </c>
      <c r="K255" s="20">
        <f ca="1">IFERROR(__xludf.DUMMYFUNCTION("""COMPUTED_VALUE"""),65)</f>
        <v>65</v>
      </c>
      <c r="L255" s="20">
        <f ca="1">IFERROR(__xludf.DUMMYFUNCTION("""COMPUTED_VALUE"""),0)</f>
        <v>0</v>
      </c>
      <c r="M255" s="21">
        <f ca="1">IFERROR(__xludf.DUMMYFUNCTION("""COMPUTED_VALUE"""),95)</f>
        <v>95</v>
      </c>
      <c r="N255" s="21">
        <f ca="1">IFERROR(__xludf.DUMMYFUNCTION("""COMPUTED_VALUE"""),10)</f>
        <v>10</v>
      </c>
      <c r="O255" s="22">
        <f ca="1">IFERROR(__xludf.DUMMYFUNCTION("""COMPUTED_VALUE"""),35)</f>
        <v>35</v>
      </c>
      <c r="P255" s="22">
        <f ca="1">IFERROR(__xludf.DUMMYFUNCTION("""COMPUTED_VALUE"""),0)</f>
        <v>0</v>
      </c>
      <c r="Q255" s="23">
        <f ca="1">IFERROR(__xludf.DUMMYFUNCTION("""COMPUTED_VALUE"""),410)</f>
        <v>410</v>
      </c>
      <c r="R255" s="23">
        <f ca="1">IFERROR(__xludf.DUMMYFUNCTION("""COMPUTED_VALUE"""),30)</f>
        <v>30</v>
      </c>
      <c r="S255" s="24" t="str">
        <f ca="1">IFERROR(__xludf.DUMMYFUNCTION("""COMPUTED_VALUE"""),"Skill Link")</f>
        <v>Skill Link</v>
      </c>
      <c r="T255" s="24" t="str">
        <f ca="1">IFERROR(__xludf.DUMMYFUNCTION("""COMPUTED_VALUE"""),"Natural Cure")</f>
        <v>Natural Cure</v>
      </c>
      <c r="U255" s="24" t="str">
        <f ca="1">IFERROR(__xludf.DUMMYFUNCTION("""COMPUTED_VALUE"""),"Regenerator")</f>
        <v>Regenerator</v>
      </c>
      <c r="V255" s="25"/>
      <c r="W255" s="25"/>
      <c r="X255" s="25" t="str">
        <f ca="1">IFERROR(__xludf.DUMMYFUNCTION("""COMPUTED_VALUE"""),"Luminous Moss")</f>
        <v>Luminous Moss</v>
      </c>
      <c r="Y255" s="25" t="str">
        <f ca="1">IFERROR(__xludf.DUMMYFUNCTION("""COMPUTED_VALUE"""),"Sofos City, Marmaro Island, Myrrini Island")</f>
        <v>Sofos City, Marmaro Island, Myrrini Island</v>
      </c>
    </row>
    <row r="256" spans="1:25" x14ac:dyDescent="0.25">
      <c r="A256" s="15" t="str">
        <f ca="1">IFERROR(__xludf.DUMMYFUNCTION("""COMPUTED_VALUE"""),"Cursola")</f>
        <v>Cursola</v>
      </c>
      <c r="B256" s="16">
        <f ca="1">IFERROR(__xludf.DUMMYFUNCTION("""COMPUTED_VALUE"""),255)</f>
        <v>255</v>
      </c>
      <c r="C256" s="3" t="str">
        <f ca="1">IFERROR(__xludf.DUMMYFUNCTION("""COMPUTED_VALUE"""),"Ghost")</f>
        <v>Ghost</v>
      </c>
      <c r="D256" s="3" t="str">
        <f ca="1">IFERROR(__xludf.DUMMYFUNCTION("""COMPUTED_VALUE"""),"Rock")</f>
        <v>Rock</v>
      </c>
      <c r="E256" s="17">
        <f ca="1">IFERROR(__xludf.DUMMYFUNCTION("""COMPUTED_VALUE"""),70)</f>
        <v>70</v>
      </c>
      <c r="F256" s="17">
        <f ca="1">IFERROR(__xludf.DUMMYFUNCTION("""COMPUTED_VALUE"""),10)</f>
        <v>10</v>
      </c>
      <c r="G256" s="18">
        <f ca="1">IFERROR(__xludf.DUMMYFUNCTION("""COMPUTED_VALUE"""),95)</f>
        <v>95</v>
      </c>
      <c r="H256" s="18">
        <f ca="1">IFERROR(__xludf.DUMMYFUNCTION("""COMPUTED_VALUE"""),0)</f>
        <v>0</v>
      </c>
      <c r="I256" s="19">
        <f ca="1">IFERROR(__xludf.DUMMYFUNCTION("""COMPUTED_VALUE"""),50)</f>
        <v>50</v>
      </c>
      <c r="J256" s="19">
        <f ca="1">IFERROR(__xludf.DUMMYFUNCTION("""COMPUTED_VALUE"""),0)</f>
        <v>0</v>
      </c>
      <c r="K256" s="20">
        <f ca="1">IFERROR(__xludf.DUMMYFUNCTION("""COMPUTED_VALUE"""),145)</f>
        <v>145</v>
      </c>
      <c r="L256" s="20">
        <f ca="1">IFERROR(__xludf.DUMMYFUNCTION("""COMPUTED_VALUE"""),0)</f>
        <v>0</v>
      </c>
      <c r="M256" s="21">
        <f ca="1">IFERROR(__xludf.DUMMYFUNCTION("""COMPUTED_VALUE"""),130)</f>
        <v>130</v>
      </c>
      <c r="N256" s="21">
        <f ca="1">IFERROR(__xludf.DUMMYFUNCTION("""COMPUTED_VALUE"""),0)</f>
        <v>0</v>
      </c>
      <c r="O256" s="22">
        <f ca="1">IFERROR(__xludf.DUMMYFUNCTION("""COMPUTED_VALUE"""),20)</f>
        <v>20</v>
      </c>
      <c r="P256" s="22">
        <f ca="1">IFERROR(__xludf.DUMMYFUNCTION("""COMPUTED_VALUE"""),-10)</f>
        <v>-10</v>
      </c>
      <c r="Q256" s="23">
        <f ca="1">IFERROR(__xludf.DUMMYFUNCTION("""COMPUTED_VALUE"""),510)</f>
        <v>510</v>
      </c>
      <c r="R256" s="23">
        <f ca="1">IFERROR(__xludf.DUMMYFUNCTION("""COMPUTED_VALUE"""),0)</f>
        <v>0</v>
      </c>
      <c r="S256" s="24" t="str">
        <f ca="1">IFERROR(__xludf.DUMMYFUNCTION("""COMPUTED_VALUE"""),"Weak Armor")</f>
        <v>Weak Armor</v>
      </c>
      <c r="T256" s="25"/>
      <c r="U256" s="24" t="str">
        <f ca="1">IFERROR(__xludf.DUMMYFUNCTION("""COMPUTED_VALUE"""),"Perish Body")</f>
        <v>Perish Body</v>
      </c>
      <c r="V256" s="25" t="str">
        <f ca="1">IFERROR(__xludf.DUMMYFUNCTION("""COMPUTED_VALUE"""),"Lv. 34")</f>
        <v>Lv. 34</v>
      </c>
      <c r="W256" s="25"/>
      <c r="X256" s="25"/>
      <c r="Y256" s="25" t="str">
        <f ca="1">IFERROR(__xludf.DUMMYFUNCTION("""COMPUTED_VALUE"""),"Galarian Corsola (evolve)")</f>
        <v>Galarian Corsola (evolve)</v>
      </c>
    </row>
    <row r="257" spans="1:25" x14ac:dyDescent="0.25">
      <c r="A257" s="15" t="str">
        <f ca="1">IFERROR(__xludf.DUMMYFUNCTION("""COMPUTED_VALUE"""),"Finneon")</f>
        <v>Finneon</v>
      </c>
      <c r="B257" s="16">
        <f ca="1">IFERROR(__xludf.DUMMYFUNCTION("""COMPUTED_VALUE"""),256)</f>
        <v>256</v>
      </c>
      <c r="C257" s="3" t="str">
        <f ca="1">IFERROR(__xludf.DUMMYFUNCTION("""COMPUTED_VALUE"""),"Water")</f>
        <v>Water</v>
      </c>
      <c r="D257" s="3" t="str">
        <f ca="1">IFERROR(__xludf.DUMMYFUNCTION("""COMPUTED_VALUE"""),"Fairy")</f>
        <v>Fairy</v>
      </c>
      <c r="E257" s="17">
        <f ca="1">IFERROR(__xludf.DUMMYFUNCTION("""COMPUTED_VALUE"""),49)</f>
        <v>49</v>
      </c>
      <c r="F257" s="17">
        <f ca="1">IFERROR(__xludf.DUMMYFUNCTION("""COMPUTED_VALUE"""),0)</f>
        <v>0</v>
      </c>
      <c r="G257" s="18">
        <f ca="1">IFERROR(__xludf.DUMMYFUNCTION("""COMPUTED_VALUE"""),39)</f>
        <v>39</v>
      </c>
      <c r="H257" s="18">
        <f ca="1">IFERROR(__xludf.DUMMYFUNCTION("""COMPUTED_VALUE"""),-10)</f>
        <v>-10</v>
      </c>
      <c r="I257" s="19">
        <f ca="1">IFERROR(__xludf.DUMMYFUNCTION("""COMPUTED_VALUE"""),56)</f>
        <v>56</v>
      </c>
      <c r="J257" s="19">
        <f ca="1">IFERROR(__xludf.DUMMYFUNCTION("""COMPUTED_VALUE"""),0)</f>
        <v>0</v>
      </c>
      <c r="K257" s="20">
        <f ca="1">IFERROR(__xludf.DUMMYFUNCTION("""COMPUTED_VALUE"""),59)</f>
        <v>59</v>
      </c>
      <c r="L257" s="20">
        <f ca="1">IFERROR(__xludf.DUMMYFUNCTION("""COMPUTED_VALUE"""),10)</f>
        <v>10</v>
      </c>
      <c r="M257" s="21">
        <f ca="1">IFERROR(__xludf.DUMMYFUNCTION("""COMPUTED_VALUE"""),61)</f>
        <v>61</v>
      </c>
      <c r="N257" s="21">
        <f ca="1">IFERROR(__xludf.DUMMYFUNCTION("""COMPUTED_VALUE"""),0)</f>
        <v>0</v>
      </c>
      <c r="O257" s="22">
        <f ca="1">IFERROR(__xludf.DUMMYFUNCTION("""COMPUTED_VALUE"""),66)</f>
        <v>66</v>
      </c>
      <c r="P257" s="22">
        <f ca="1">IFERROR(__xludf.DUMMYFUNCTION("""COMPUTED_VALUE"""),0)</f>
        <v>0</v>
      </c>
      <c r="Q257" s="23">
        <f ca="1">IFERROR(__xludf.DUMMYFUNCTION("""COMPUTED_VALUE"""),330)</f>
        <v>330</v>
      </c>
      <c r="R257" s="23">
        <f ca="1">IFERROR(__xludf.DUMMYFUNCTION("""COMPUTED_VALUE"""),0)</f>
        <v>0</v>
      </c>
      <c r="S257" s="24" t="str">
        <f ca="1">IFERROR(__xludf.DUMMYFUNCTION("""COMPUTED_VALUE"""),"Swift Swim")</f>
        <v>Swift Swim</v>
      </c>
      <c r="T257" s="24" t="str">
        <f ca="1">IFERROR(__xludf.DUMMYFUNCTION("""COMPUTED_VALUE"""),"Storm Drain")</f>
        <v>Storm Drain</v>
      </c>
      <c r="U257" s="24" t="str">
        <f ca="1">IFERROR(__xludf.DUMMYFUNCTION("""COMPUTED_VALUE"""),"Dazzling")</f>
        <v>Dazzling</v>
      </c>
      <c r="V257" s="25"/>
      <c r="W257" s="25"/>
      <c r="X257" s="25"/>
      <c r="Y257" s="25" t="str">
        <f ca="1">IFERROR(__xludf.DUMMYFUNCTION("""COMPUTED_VALUE"""),"Acrisia City, Acrisia Mountains, Riverwalk Trail N (surf) Acrisia City, Acrisia Mountains, Riverwalk Trail N, Wanderer`s Woods, Pythios Town (SR) Pythios Cemetery (GR)(fish) Froslass Cavern, Sofos City, Sea of Asteri, Marmaro Island, Myrrini Island, Sea o"&amp;"f Vulcai, Fresco Isles")</f>
        <v>Acrisia City, Acrisia Mountains, Riverwalk Trail N (surf) Acrisia City, Acrisia Mountains, Riverwalk Trail N, Wanderer`s Woods, Pythios Town (SR) Pythios Cemetery (GR)(fish) Froslass Cavern, Sofos City, Sea of Asteri, Marmaro Island, Myrrini Island, Sea of Vulcai, Fresco Isles</v>
      </c>
    </row>
    <row r="258" spans="1:25" x14ac:dyDescent="0.25">
      <c r="A258" s="15" t="str">
        <f ca="1">IFERROR(__xludf.DUMMYFUNCTION("""COMPUTED_VALUE"""),"Lumineon")</f>
        <v>Lumineon</v>
      </c>
      <c r="B258" s="16">
        <f ca="1">IFERROR(__xludf.DUMMYFUNCTION("""COMPUTED_VALUE"""),257)</f>
        <v>257</v>
      </c>
      <c r="C258" s="3" t="str">
        <f ca="1">IFERROR(__xludf.DUMMYFUNCTION("""COMPUTED_VALUE"""),"Water")</f>
        <v>Water</v>
      </c>
      <c r="D258" s="3" t="str">
        <f ca="1">IFERROR(__xludf.DUMMYFUNCTION("""COMPUTED_VALUE"""),"Fairy")</f>
        <v>Fairy</v>
      </c>
      <c r="E258" s="17">
        <f ca="1">IFERROR(__xludf.DUMMYFUNCTION("""COMPUTED_VALUE"""),79)</f>
        <v>79</v>
      </c>
      <c r="F258" s="17">
        <f ca="1">IFERROR(__xludf.DUMMYFUNCTION("""COMPUTED_VALUE"""),10)</f>
        <v>10</v>
      </c>
      <c r="G258" s="18">
        <f ca="1">IFERROR(__xludf.DUMMYFUNCTION("""COMPUTED_VALUE"""),59)</f>
        <v>59</v>
      </c>
      <c r="H258" s="18">
        <f ca="1">IFERROR(__xludf.DUMMYFUNCTION("""COMPUTED_VALUE"""),-10)</f>
        <v>-10</v>
      </c>
      <c r="I258" s="19">
        <f ca="1">IFERROR(__xludf.DUMMYFUNCTION("""COMPUTED_VALUE"""),76)</f>
        <v>76</v>
      </c>
      <c r="J258" s="19">
        <f ca="1">IFERROR(__xludf.DUMMYFUNCTION("""COMPUTED_VALUE"""),0)</f>
        <v>0</v>
      </c>
      <c r="K258" s="20">
        <f ca="1">IFERROR(__xludf.DUMMYFUNCTION("""COMPUTED_VALUE"""),79)</f>
        <v>79</v>
      </c>
      <c r="L258" s="20">
        <f ca="1">IFERROR(__xludf.DUMMYFUNCTION("""COMPUTED_VALUE"""),10)</f>
        <v>10</v>
      </c>
      <c r="M258" s="21">
        <f ca="1">IFERROR(__xludf.DUMMYFUNCTION("""COMPUTED_VALUE"""),86)</f>
        <v>86</v>
      </c>
      <c r="N258" s="21">
        <f ca="1">IFERROR(__xludf.DUMMYFUNCTION("""COMPUTED_VALUE"""),0)</f>
        <v>0</v>
      </c>
      <c r="O258" s="22">
        <f ca="1">IFERROR(__xludf.DUMMYFUNCTION("""COMPUTED_VALUE"""),91)</f>
        <v>91</v>
      </c>
      <c r="P258" s="22">
        <f ca="1">IFERROR(__xludf.DUMMYFUNCTION("""COMPUTED_VALUE"""),0)</f>
        <v>0</v>
      </c>
      <c r="Q258" s="23">
        <f ca="1">IFERROR(__xludf.DUMMYFUNCTION("""COMPUTED_VALUE"""),470)</f>
        <v>470</v>
      </c>
      <c r="R258" s="23">
        <f ca="1">IFERROR(__xludf.DUMMYFUNCTION("""COMPUTED_VALUE"""),10)</f>
        <v>10</v>
      </c>
      <c r="S258" s="24" t="str">
        <f ca="1">IFERROR(__xludf.DUMMYFUNCTION("""COMPUTED_VALUE"""),"Swift Swim")</f>
        <v>Swift Swim</v>
      </c>
      <c r="T258" s="24" t="str">
        <f ca="1">IFERROR(__xludf.DUMMYFUNCTION("""COMPUTED_VALUE"""),"Storm Drain")</f>
        <v>Storm Drain</v>
      </c>
      <c r="U258" s="24" t="str">
        <f ca="1">IFERROR(__xludf.DUMMYFUNCTION("""COMPUTED_VALUE"""),"Dazzling")</f>
        <v>Dazzling</v>
      </c>
      <c r="V258" s="25" t="str">
        <f ca="1">IFERROR(__xludf.DUMMYFUNCTION("""COMPUTED_VALUE"""),"Lv. 26")</f>
        <v>Lv. 26</v>
      </c>
      <c r="W258" s="25"/>
      <c r="X258" s="25"/>
      <c r="Y258" s="25" t="str">
        <f ca="1">IFERROR(__xludf.DUMMYFUNCTION("""COMPUTED_VALUE"""),"Port Pello")</f>
        <v>Port Pello</v>
      </c>
    </row>
    <row r="259" spans="1:25" x14ac:dyDescent="0.25">
      <c r="A259" s="15" t="str">
        <f ca="1">IFERROR(__xludf.DUMMYFUNCTION("""COMPUTED_VALUE"""),"Wailmer")</f>
        <v>Wailmer</v>
      </c>
      <c r="B259" s="16">
        <f ca="1">IFERROR(__xludf.DUMMYFUNCTION("""COMPUTED_VALUE"""),258)</f>
        <v>258</v>
      </c>
      <c r="C259" s="3" t="str">
        <f ca="1">IFERROR(__xludf.DUMMYFUNCTION("""COMPUTED_VALUE"""),"Water")</f>
        <v>Water</v>
      </c>
      <c r="D259" s="3"/>
      <c r="E259" s="17">
        <f ca="1">IFERROR(__xludf.DUMMYFUNCTION("""COMPUTED_VALUE"""),130)</f>
        <v>130</v>
      </c>
      <c r="F259" s="17">
        <f ca="1">IFERROR(__xludf.DUMMYFUNCTION("""COMPUTED_VALUE"""),0)</f>
        <v>0</v>
      </c>
      <c r="G259" s="18">
        <f ca="1">IFERROR(__xludf.DUMMYFUNCTION("""COMPUTED_VALUE"""),70)</f>
        <v>70</v>
      </c>
      <c r="H259" s="18">
        <f ca="1">IFERROR(__xludf.DUMMYFUNCTION("""COMPUTED_VALUE"""),0)</f>
        <v>0</v>
      </c>
      <c r="I259" s="19">
        <f ca="1">IFERROR(__xludf.DUMMYFUNCTION("""COMPUTED_VALUE"""),35)</f>
        <v>35</v>
      </c>
      <c r="J259" s="19">
        <f ca="1">IFERROR(__xludf.DUMMYFUNCTION("""COMPUTED_VALUE"""),0)</f>
        <v>0</v>
      </c>
      <c r="K259" s="20">
        <f ca="1">IFERROR(__xludf.DUMMYFUNCTION("""COMPUTED_VALUE"""),70)</f>
        <v>70</v>
      </c>
      <c r="L259" s="20">
        <f ca="1">IFERROR(__xludf.DUMMYFUNCTION("""COMPUTED_VALUE"""),0)</f>
        <v>0</v>
      </c>
      <c r="M259" s="21">
        <f ca="1">IFERROR(__xludf.DUMMYFUNCTION("""COMPUTED_VALUE"""),35)</f>
        <v>35</v>
      </c>
      <c r="N259" s="21">
        <f ca="1">IFERROR(__xludf.DUMMYFUNCTION("""COMPUTED_VALUE"""),0)</f>
        <v>0</v>
      </c>
      <c r="O259" s="22">
        <f ca="1">IFERROR(__xludf.DUMMYFUNCTION("""COMPUTED_VALUE"""),60)</f>
        <v>60</v>
      </c>
      <c r="P259" s="22">
        <f ca="1">IFERROR(__xludf.DUMMYFUNCTION("""COMPUTED_VALUE"""),0)</f>
        <v>0</v>
      </c>
      <c r="Q259" s="23">
        <f ca="1">IFERROR(__xludf.DUMMYFUNCTION("""COMPUTED_VALUE"""),400)</f>
        <v>400</v>
      </c>
      <c r="R259" s="23">
        <f ca="1">IFERROR(__xludf.DUMMYFUNCTION("""COMPUTED_VALUE"""),0)</f>
        <v>0</v>
      </c>
      <c r="S259" s="24" t="str">
        <f ca="1">IFERROR(__xludf.DUMMYFUNCTION("""COMPUTED_VALUE"""),"Water Veil")</f>
        <v>Water Veil</v>
      </c>
      <c r="T259" s="24" t="str">
        <f ca="1">IFERROR(__xludf.DUMMYFUNCTION("""COMPUTED_VALUE"""),"Oblivious")</f>
        <v>Oblivious</v>
      </c>
      <c r="U259" s="24" t="str">
        <f ca="1">IFERROR(__xludf.DUMMYFUNCTION("""COMPUTED_VALUE"""),"Liquid Voice")</f>
        <v>Liquid Voice</v>
      </c>
      <c r="V259" s="25"/>
      <c r="W259" s="25"/>
      <c r="X259" s="25"/>
      <c r="Y259" s="25" t="str">
        <f ca="1">IFERROR(__xludf.DUMMYFUNCTION("""COMPUTED_VALUE"""),"Port Pello, Sofos City, Sea of Asteri, Marmaro Island, Myrrini Island, Sea of Vulcai, Fresco Isles")</f>
        <v>Port Pello, Sofos City, Sea of Asteri, Marmaro Island, Myrrini Island, Sea of Vulcai, Fresco Isles</v>
      </c>
    </row>
    <row r="260" spans="1:25" x14ac:dyDescent="0.25">
      <c r="A260" s="15" t="str">
        <f ca="1">IFERROR(__xludf.DUMMYFUNCTION("""COMPUTED_VALUE"""),"Wailord")</f>
        <v>Wailord</v>
      </c>
      <c r="B260" s="16">
        <f ca="1">IFERROR(__xludf.DUMMYFUNCTION("""COMPUTED_VALUE"""),259)</f>
        <v>259</v>
      </c>
      <c r="C260" s="3" t="str">
        <f ca="1">IFERROR(__xludf.DUMMYFUNCTION("""COMPUTED_VALUE"""),"Water")</f>
        <v>Water</v>
      </c>
      <c r="D260" s="3"/>
      <c r="E260" s="17">
        <f ca="1">IFERROR(__xludf.DUMMYFUNCTION("""COMPUTED_VALUE"""),170)</f>
        <v>170</v>
      </c>
      <c r="F260" s="17">
        <f ca="1">IFERROR(__xludf.DUMMYFUNCTION("""COMPUTED_VALUE"""),0)</f>
        <v>0</v>
      </c>
      <c r="G260" s="18">
        <f ca="1">IFERROR(__xludf.DUMMYFUNCTION("""COMPUTED_VALUE"""),85)</f>
        <v>85</v>
      </c>
      <c r="H260" s="18">
        <f ca="1">IFERROR(__xludf.DUMMYFUNCTION("""COMPUTED_VALUE"""),-5)</f>
        <v>-5</v>
      </c>
      <c r="I260" s="19">
        <f ca="1">IFERROR(__xludf.DUMMYFUNCTION("""COMPUTED_VALUE"""),45)</f>
        <v>45</v>
      </c>
      <c r="J260" s="19">
        <f ca="1">IFERROR(__xludf.DUMMYFUNCTION("""COMPUTED_VALUE"""),0)</f>
        <v>0</v>
      </c>
      <c r="K260" s="20">
        <f ca="1">IFERROR(__xludf.DUMMYFUNCTION("""COMPUTED_VALUE"""),95)</f>
        <v>95</v>
      </c>
      <c r="L260" s="20">
        <f ca="1">IFERROR(__xludf.DUMMYFUNCTION("""COMPUTED_VALUE"""),5)</f>
        <v>5</v>
      </c>
      <c r="M260" s="21">
        <f ca="1">IFERROR(__xludf.DUMMYFUNCTION("""COMPUTED_VALUE"""),45)</f>
        <v>45</v>
      </c>
      <c r="N260" s="21">
        <f ca="1">IFERROR(__xludf.DUMMYFUNCTION("""COMPUTED_VALUE"""),0)</f>
        <v>0</v>
      </c>
      <c r="O260" s="22">
        <f ca="1">IFERROR(__xludf.DUMMYFUNCTION("""COMPUTED_VALUE"""),60)</f>
        <v>60</v>
      </c>
      <c r="P260" s="22">
        <f ca="1">IFERROR(__xludf.DUMMYFUNCTION("""COMPUTED_VALUE"""),0)</f>
        <v>0</v>
      </c>
      <c r="Q260" s="23">
        <f ca="1">IFERROR(__xludf.DUMMYFUNCTION("""COMPUTED_VALUE"""),500)</f>
        <v>500</v>
      </c>
      <c r="R260" s="23">
        <f ca="1">IFERROR(__xludf.DUMMYFUNCTION("""COMPUTED_VALUE"""),0)</f>
        <v>0</v>
      </c>
      <c r="S260" s="24" t="str">
        <f ca="1">IFERROR(__xludf.DUMMYFUNCTION("""COMPUTED_VALUE"""),"Water Veil")</f>
        <v>Water Veil</v>
      </c>
      <c r="T260" s="24" t="str">
        <f ca="1">IFERROR(__xludf.DUMMYFUNCTION("""COMPUTED_VALUE"""),"Oblivious")</f>
        <v>Oblivious</v>
      </c>
      <c r="U260" s="24" t="str">
        <f ca="1">IFERROR(__xludf.DUMMYFUNCTION("""COMPUTED_VALUE"""),"Liquid Voice")</f>
        <v>Liquid Voice</v>
      </c>
      <c r="V260" s="25" t="str">
        <f ca="1">IFERROR(__xludf.DUMMYFUNCTION("""COMPUTED_VALUE"""),"Lv. 40")</f>
        <v>Lv. 40</v>
      </c>
      <c r="W260" s="25"/>
      <c r="X260" s="25"/>
      <c r="Y260" s="25" t="str">
        <f ca="1">IFERROR(__xludf.DUMMYFUNCTION("""COMPUTED_VALUE"""),"?")</f>
        <v>?</v>
      </c>
    </row>
    <row r="261" spans="1:25" x14ac:dyDescent="0.25">
      <c r="A261" s="15" t="str">
        <f ca="1">IFERROR(__xludf.DUMMYFUNCTION("""COMPUTED_VALUE"""),"Tentacool")</f>
        <v>Tentacool</v>
      </c>
      <c r="B261" s="16">
        <f ca="1">IFERROR(__xludf.DUMMYFUNCTION("""COMPUTED_VALUE"""),260)</f>
        <v>260</v>
      </c>
      <c r="C261" s="3" t="str">
        <f ca="1">IFERROR(__xludf.DUMMYFUNCTION("""COMPUTED_VALUE"""),"Water")</f>
        <v>Water</v>
      </c>
      <c r="D261" s="3" t="str">
        <f ca="1">IFERROR(__xludf.DUMMYFUNCTION("""COMPUTED_VALUE"""),"Poison")</f>
        <v>Poison</v>
      </c>
      <c r="E261" s="17">
        <f ca="1">IFERROR(__xludf.DUMMYFUNCTION("""COMPUTED_VALUE"""),40)</f>
        <v>40</v>
      </c>
      <c r="F261" s="17">
        <f ca="1">IFERROR(__xludf.DUMMYFUNCTION("""COMPUTED_VALUE"""),0)</f>
        <v>0</v>
      </c>
      <c r="G261" s="18">
        <f ca="1">IFERROR(__xludf.DUMMYFUNCTION("""COMPUTED_VALUE"""),40)</f>
        <v>40</v>
      </c>
      <c r="H261" s="18">
        <f ca="1">IFERROR(__xludf.DUMMYFUNCTION("""COMPUTED_VALUE"""),0)</f>
        <v>0</v>
      </c>
      <c r="I261" s="19">
        <f ca="1">IFERROR(__xludf.DUMMYFUNCTION("""COMPUTED_VALUE"""),35)</f>
        <v>35</v>
      </c>
      <c r="J261" s="19">
        <f ca="1">IFERROR(__xludf.DUMMYFUNCTION("""COMPUTED_VALUE"""),0)</f>
        <v>0</v>
      </c>
      <c r="K261" s="20">
        <f ca="1">IFERROR(__xludf.DUMMYFUNCTION("""COMPUTED_VALUE"""),50)</f>
        <v>50</v>
      </c>
      <c r="L261" s="20">
        <f ca="1">IFERROR(__xludf.DUMMYFUNCTION("""COMPUTED_VALUE"""),0)</f>
        <v>0</v>
      </c>
      <c r="M261" s="21">
        <f ca="1">IFERROR(__xludf.DUMMYFUNCTION("""COMPUTED_VALUE"""),100)</f>
        <v>100</v>
      </c>
      <c r="N261" s="21">
        <f ca="1">IFERROR(__xludf.DUMMYFUNCTION("""COMPUTED_VALUE"""),0)</f>
        <v>0</v>
      </c>
      <c r="O261" s="22">
        <f ca="1">IFERROR(__xludf.DUMMYFUNCTION("""COMPUTED_VALUE"""),70)</f>
        <v>70</v>
      </c>
      <c r="P261" s="22">
        <f ca="1">IFERROR(__xludf.DUMMYFUNCTION("""COMPUTED_VALUE"""),0)</f>
        <v>0</v>
      </c>
      <c r="Q261" s="23">
        <f ca="1">IFERROR(__xludf.DUMMYFUNCTION("""COMPUTED_VALUE"""),335)</f>
        <v>335</v>
      </c>
      <c r="R261" s="23">
        <f ca="1">IFERROR(__xludf.DUMMYFUNCTION("""COMPUTED_VALUE"""),0)</f>
        <v>0</v>
      </c>
      <c r="S261" s="24" t="str">
        <f ca="1">IFERROR(__xludf.DUMMYFUNCTION("""COMPUTED_VALUE"""),"Clear Body")</f>
        <v>Clear Body</v>
      </c>
      <c r="T261" s="24" t="str">
        <f ca="1">IFERROR(__xludf.DUMMYFUNCTION("""COMPUTED_VALUE"""),"Liquid Ooze")</f>
        <v>Liquid Ooze</v>
      </c>
      <c r="U261" s="24" t="str">
        <f ca="1">IFERROR(__xludf.DUMMYFUNCTION("""COMPUTED_VALUE"""),"Rain Dish")</f>
        <v>Rain Dish</v>
      </c>
      <c r="V261" s="25"/>
      <c r="W261" s="25"/>
      <c r="X261" s="25" t="str">
        <f ca="1">IFERROR(__xludf.DUMMYFUNCTION("""COMPUTED_VALUE"""),"Poison Barb")</f>
        <v>Poison Barb</v>
      </c>
      <c r="Y261" s="25" t="str">
        <f ca="1">IFERROR(__xludf.DUMMYFUNCTION("""COMPUTED_VALUE"""),"Sofos City, Sea of Asteri, Marmaro Island, Myrrini Island, Sea of Vulcai, Fresco Isles")</f>
        <v>Sofos City, Sea of Asteri, Marmaro Island, Myrrini Island, Sea of Vulcai, Fresco Isles</v>
      </c>
    </row>
    <row r="262" spans="1:25" x14ac:dyDescent="0.25">
      <c r="A262" s="15" t="str">
        <f ca="1">IFERROR(__xludf.DUMMYFUNCTION("""COMPUTED_VALUE"""),"Tentacruel")</f>
        <v>Tentacruel</v>
      </c>
      <c r="B262" s="16">
        <f ca="1">IFERROR(__xludf.DUMMYFUNCTION("""COMPUTED_VALUE"""),261)</f>
        <v>261</v>
      </c>
      <c r="C262" s="3" t="str">
        <f ca="1">IFERROR(__xludf.DUMMYFUNCTION("""COMPUTED_VALUE"""),"Water")</f>
        <v>Water</v>
      </c>
      <c r="D262" s="3" t="str">
        <f ca="1">IFERROR(__xludf.DUMMYFUNCTION("""COMPUTED_VALUE"""),"Poison")</f>
        <v>Poison</v>
      </c>
      <c r="E262" s="17">
        <f ca="1">IFERROR(__xludf.DUMMYFUNCTION("""COMPUTED_VALUE"""),80)</f>
        <v>80</v>
      </c>
      <c r="F262" s="17">
        <f ca="1">IFERROR(__xludf.DUMMYFUNCTION("""COMPUTED_VALUE"""),0)</f>
        <v>0</v>
      </c>
      <c r="G262" s="18">
        <f ca="1">IFERROR(__xludf.DUMMYFUNCTION("""COMPUTED_VALUE"""),70)</f>
        <v>70</v>
      </c>
      <c r="H262" s="18">
        <f ca="1">IFERROR(__xludf.DUMMYFUNCTION("""COMPUTED_VALUE"""),0)</f>
        <v>0</v>
      </c>
      <c r="I262" s="19">
        <f ca="1">IFERROR(__xludf.DUMMYFUNCTION("""COMPUTED_VALUE"""),65)</f>
        <v>65</v>
      </c>
      <c r="J262" s="19">
        <f ca="1">IFERROR(__xludf.DUMMYFUNCTION("""COMPUTED_VALUE"""),0)</f>
        <v>0</v>
      </c>
      <c r="K262" s="20">
        <f ca="1">IFERROR(__xludf.DUMMYFUNCTION("""COMPUTED_VALUE"""),80)</f>
        <v>80</v>
      </c>
      <c r="L262" s="20">
        <f ca="1">IFERROR(__xludf.DUMMYFUNCTION("""COMPUTED_VALUE"""),0)</f>
        <v>0</v>
      </c>
      <c r="M262" s="21">
        <f ca="1">IFERROR(__xludf.DUMMYFUNCTION("""COMPUTED_VALUE"""),130)</f>
        <v>130</v>
      </c>
      <c r="N262" s="21">
        <f ca="1">IFERROR(__xludf.DUMMYFUNCTION("""COMPUTED_VALUE"""),10)</f>
        <v>10</v>
      </c>
      <c r="O262" s="22">
        <f ca="1">IFERROR(__xludf.DUMMYFUNCTION("""COMPUTED_VALUE"""),100)</f>
        <v>100</v>
      </c>
      <c r="P262" s="22">
        <f ca="1">IFERROR(__xludf.DUMMYFUNCTION("""COMPUTED_VALUE"""),0)</f>
        <v>0</v>
      </c>
      <c r="Q262" s="23">
        <f ca="1">IFERROR(__xludf.DUMMYFUNCTION("""COMPUTED_VALUE"""),525)</f>
        <v>525</v>
      </c>
      <c r="R262" s="23">
        <f ca="1">IFERROR(__xludf.DUMMYFUNCTION("""COMPUTED_VALUE"""),10)</f>
        <v>10</v>
      </c>
      <c r="S262" s="24" t="str">
        <f ca="1">IFERROR(__xludf.DUMMYFUNCTION("""COMPUTED_VALUE"""),"Clear Body")</f>
        <v>Clear Body</v>
      </c>
      <c r="T262" s="24" t="str">
        <f ca="1">IFERROR(__xludf.DUMMYFUNCTION("""COMPUTED_VALUE"""),"Liquid Ooze")</f>
        <v>Liquid Ooze</v>
      </c>
      <c r="U262" s="24" t="str">
        <f ca="1">IFERROR(__xludf.DUMMYFUNCTION("""COMPUTED_VALUE"""),"Rain Dish")</f>
        <v>Rain Dish</v>
      </c>
      <c r="V262" s="25" t="str">
        <f ca="1">IFERROR(__xludf.DUMMYFUNCTION("""COMPUTED_VALUE"""),"Lv. 30")</f>
        <v>Lv. 30</v>
      </c>
      <c r="W262" s="25"/>
      <c r="X262" s="25" t="str">
        <f ca="1">IFERROR(__xludf.DUMMYFUNCTION("""COMPUTED_VALUE"""),"Poison Barb")</f>
        <v>Poison Barb</v>
      </c>
      <c r="Y262" s="25" t="str">
        <f ca="1">IFERROR(__xludf.DUMMYFUNCTION("""COMPUTED_VALUE"""),"Port Pello")</f>
        <v>Port Pello</v>
      </c>
    </row>
    <row r="263" spans="1:25" x14ac:dyDescent="0.25">
      <c r="A263" s="15" t="str">
        <f ca="1">IFERROR(__xludf.DUMMYFUNCTION("""COMPUTED_VALUE"""),"Clauncher")</f>
        <v>Clauncher</v>
      </c>
      <c r="B263" s="16">
        <f ca="1">IFERROR(__xludf.DUMMYFUNCTION("""COMPUTED_VALUE"""),262)</f>
        <v>262</v>
      </c>
      <c r="C263" s="3" t="str">
        <f ca="1">IFERROR(__xludf.DUMMYFUNCTION("""COMPUTED_VALUE"""),"Water")</f>
        <v>Water</v>
      </c>
      <c r="D263" s="3"/>
      <c r="E263" s="17">
        <f ca="1">IFERROR(__xludf.DUMMYFUNCTION("""COMPUTED_VALUE"""),50)</f>
        <v>50</v>
      </c>
      <c r="F263" s="17">
        <f ca="1">IFERROR(__xludf.DUMMYFUNCTION("""COMPUTED_VALUE"""),0)</f>
        <v>0</v>
      </c>
      <c r="G263" s="18">
        <f ca="1">IFERROR(__xludf.DUMMYFUNCTION("""COMPUTED_VALUE"""),53)</f>
        <v>53</v>
      </c>
      <c r="H263" s="18">
        <f ca="1">IFERROR(__xludf.DUMMYFUNCTION("""COMPUTED_VALUE"""),0)</f>
        <v>0</v>
      </c>
      <c r="I263" s="19">
        <f ca="1">IFERROR(__xludf.DUMMYFUNCTION("""COMPUTED_VALUE"""),62)</f>
        <v>62</v>
      </c>
      <c r="J263" s="19">
        <f ca="1">IFERROR(__xludf.DUMMYFUNCTION("""COMPUTED_VALUE"""),0)</f>
        <v>0</v>
      </c>
      <c r="K263" s="20">
        <f ca="1">IFERROR(__xludf.DUMMYFUNCTION("""COMPUTED_VALUE"""),58)</f>
        <v>58</v>
      </c>
      <c r="L263" s="20">
        <f ca="1">IFERROR(__xludf.DUMMYFUNCTION("""COMPUTED_VALUE"""),0)</f>
        <v>0</v>
      </c>
      <c r="M263" s="21">
        <f ca="1">IFERROR(__xludf.DUMMYFUNCTION("""COMPUTED_VALUE"""),63)</f>
        <v>63</v>
      </c>
      <c r="N263" s="21">
        <f ca="1">IFERROR(__xludf.DUMMYFUNCTION("""COMPUTED_VALUE"""),0)</f>
        <v>0</v>
      </c>
      <c r="O263" s="22">
        <f ca="1">IFERROR(__xludf.DUMMYFUNCTION("""COMPUTED_VALUE"""),44)</f>
        <v>44</v>
      </c>
      <c r="P263" s="22">
        <f ca="1">IFERROR(__xludf.DUMMYFUNCTION("""COMPUTED_VALUE"""),0)</f>
        <v>0</v>
      </c>
      <c r="Q263" s="23">
        <f ca="1">IFERROR(__xludf.DUMMYFUNCTION("""COMPUTED_VALUE"""),330)</f>
        <v>330</v>
      </c>
      <c r="R263" s="23">
        <f ca="1">IFERROR(__xludf.DUMMYFUNCTION("""COMPUTED_VALUE"""),0)</f>
        <v>0</v>
      </c>
      <c r="S263" s="24" t="str">
        <f ca="1">IFERROR(__xludf.DUMMYFUNCTION("""COMPUTED_VALUE"""),"Mega Launcher")</f>
        <v>Mega Launcher</v>
      </c>
      <c r="T263" s="25"/>
      <c r="U263" s="25"/>
      <c r="V263" s="25"/>
      <c r="W263" s="25"/>
      <c r="X263" s="25"/>
      <c r="Y263" s="25" t="str">
        <f ca="1">IFERROR(__xludf.DUMMYFUNCTION("""COMPUTED_VALUE"""),"Kalami City, Riverwalk Trail N, Riverwalk Trail S, Pythios Cemetery (surf) Kalami City, Riverwalk Trail N, Riverwalk Trail S (GR)(fish) Sofos City, Sea of Asteri, Marmaro Island")</f>
        <v>Kalami City, Riverwalk Trail N, Riverwalk Trail S, Pythios Cemetery (surf) Kalami City, Riverwalk Trail N, Riverwalk Trail S (GR)(fish) Sofos City, Sea of Asteri, Marmaro Island</v>
      </c>
    </row>
    <row r="264" spans="1:25" x14ac:dyDescent="0.25">
      <c r="A264" s="15" t="str">
        <f ca="1">IFERROR(__xludf.DUMMYFUNCTION("""COMPUTED_VALUE"""),"Clawitzer")</f>
        <v>Clawitzer</v>
      </c>
      <c r="B264" s="16">
        <f ca="1">IFERROR(__xludf.DUMMYFUNCTION("""COMPUTED_VALUE"""),263)</f>
        <v>263</v>
      </c>
      <c r="C264" s="3" t="str">
        <f ca="1">IFERROR(__xludf.DUMMYFUNCTION("""COMPUTED_VALUE"""),"Water")</f>
        <v>Water</v>
      </c>
      <c r="D264" s="3"/>
      <c r="E264" s="17">
        <f ca="1">IFERROR(__xludf.DUMMYFUNCTION("""COMPUTED_VALUE"""),76)</f>
        <v>76</v>
      </c>
      <c r="F264" s="17">
        <f ca="1">IFERROR(__xludf.DUMMYFUNCTION("""COMPUTED_VALUE"""),5)</f>
        <v>5</v>
      </c>
      <c r="G264" s="18">
        <f ca="1">IFERROR(__xludf.DUMMYFUNCTION("""COMPUTED_VALUE"""),73)</f>
        <v>73</v>
      </c>
      <c r="H264" s="18">
        <f ca="1">IFERROR(__xludf.DUMMYFUNCTION("""COMPUTED_VALUE"""),0)</f>
        <v>0</v>
      </c>
      <c r="I264" s="19">
        <f ca="1">IFERROR(__xludf.DUMMYFUNCTION("""COMPUTED_VALUE"""),88)</f>
        <v>88</v>
      </c>
      <c r="J264" s="19">
        <f ca="1">IFERROR(__xludf.DUMMYFUNCTION("""COMPUTED_VALUE"""),0)</f>
        <v>0</v>
      </c>
      <c r="K264" s="20">
        <f ca="1">IFERROR(__xludf.DUMMYFUNCTION("""COMPUTED_VALUE"""),120)</f>
        <v>120</v>
      </c>
      <c r="L264" s="20">
        <f ca="1">IFERROR(__xludf.DUMMYFUNCTION("""COMPUTED_VALUE"""),0)</f>
        <v>0</v>
      </c>
      <c r="M264" s="21">
        <f ca="1">IFERROR(__xludf.DUMMYFUNCTION("""COMPUTED_VALUE"""),89)</f>
        <v>89</v>
      </c>
      <c r="N264" s="21">
        <f ca="1">IFERROR(__xludf.DUMMYFUNCTION("""COMPUTED_VALUE"""),0)</f>
        <v>0</v>
      </c>
      <c r="O264" s="22">
        <f ca="1">IFERROR(__xludf.DUMMYFUNCTION("""COMPUTED_VALUE"""),54)</f>
        <v>54</v>
      </c>
      <c r="P264" s="22">
        <f ca="1">IFERROR(__xludf.DUMMYFUNCTION("""COMPUTED_VALUE"""),-5)</f>
        <v>-5</v>
      </c>
      <c r="Q264" s="23">
        <f ca="1">IFERROR(__xludf.DUMMYFUNCTION("""COMPUTED_VALUE"""),500)</f>
        <v>500</v>
      </c>
      <c r="R264" s="23">
        <f ca="1">IFERROR(__xludf.DUMMYFUNCTION("""COMPUTED_VALUE"""),0)</f>
        <v>0</v>
      </c>
      <c r="S264" s="24" t="str">
        <f ca="1">IFERROR(__xludf.DUMMYFUNCTION("""COMPUTED_VALUE"""),"Mega Launcher")</f>
        <v>Mega Launcher</v>
      </c>
      <c r="T264" s="25"/>
      <c r="U264" s="25"/>
      <c r="V264" s="25" t="str">
        <f ca="1">IFERROR(__xludf.DUMMYFUNCTION("""COMPUTED_VALUE"""),"Lv. 37")</f>
        <v>Lv. 37</v>
      </c>
      <c r="W264" s="25"/>
      <c r="X264" s="25"/>
      <c r="Y264" s="25" t="str">
        <f ca="1">IFERROR(__xludf.DUMMYFUNCTION("""COMPUTED_VALUE"""),"Riverwalk Trail N (SR)(fish)")</f>
        <v>Riverwalk Trail N (SR)(fish)</v>
      </c>
    </row>
    <row r="265" spans="1:25" x14ac:dyDescent="0.25">
      <c r="A265" s="15" t="str">
        <f ca="1">IFERROR(__xludf.DUMMYFUNCTION("""COMPUTED_VALUE"""),"Scyther")</f>
        <v>Scyther</v>
      </c>
      <c r="B265" s="16">
        <f ca="1">IFERROR(__xludf.DUMMYFUNCTION("""COMPUTED_VALUE"""),264)</f>
        <v>264</v>
      </c>
      <c r="C265" s="3" t="str">
        <f ca="1">IFERROR(__xludf.DUMMYFUNCTION("""COMPUTED_VALUE"""),"Bug")</f>
        <v>Bug</v>
      </c>
      <c r="D265" s="3" t="str">
        <f ca="1">IFERROR(__xludf.DUMMYFUNCTION("""COMPUTED_VALUE"""),"Flying")</f>
        <v>Flying</v>
      </c>
      <c r="E265" s="17">
        <f ca="1">IFERROR(__xludf.DUMMYFUNCTION("""COMPUTED_VALUE"""),70)</f>
        <v>70</v>
      </c>
      <c r="F265" s="17">
        <f ca="1">IFERROR(__xludf.DUMMYFUNCTION("""COMPUTED_VALUE"""),0)</f>
        <v>0</v>
      </c>
      <c r="G265" s="18">
        <f ca="1">IFERROR(__xludf.DUMMYFUNCTION("""COMPUTED_VALUE"""),110)</f>
        <v>110</v>
      </c>
      <c r="H265" s="18">
        <f ca="1">IFERROR(__xludf.DUMMYFUNCTION("""COMPUTED_VALUE"""),0)</f>
        <v>0</v>
      </c>
      <c r="I265" s="19">
        <f ca="1">IFERROR(__xludf.DUMMYFUNCTION("""COMPUTED_VALUE"""),80)</f>
        <v>80</v>
      </c>
      <c r="J265" s="19">
        <f ca="1">IFERROR(__xludf.DUMMYFUNCTION("""COMPUTED_VALUE"""),0)</f>
        <v>0</v>
      </c>
      <c r="K265" s="20">
        <f ca="1">IFERROR(__xludf.DUMMYFUNCTION("""COMPUTED_VALUE"""),55)</f>
        <v>55</v>
      </c>
      <c r="L265" s="20">
        <f ca="1">IFERROR(__xludf.DUMMYFUNCTION("""COMPUTED_VALUE"""),0)</f>
        <v>0</v>
      </c>
      <c r="M265" s="21">
        <f ca="1">IFERROR(__xludf.DUMMYFUNCTION("""COMPUTED_VALUE"""),80)</f>
        <v>80</v>
      </c>
      <c r="N265" s="21">
        <f ca="1">IFERROR(__xludf.DUMMYFUNCTION("""COMPUTED_VALUE"""),0)</f>
        <v>0</v>
      </c>
      <c r="O265" s="22">
        <f ca="1">IFERROR(__xludf.DUMMYFUNCTION("""COMPUTED_VALUE"""),105)</f>
        <v>105</v>
      </c>
      <c r="P265" s="22">
        <f ca="1">IFERROR(__xludf.DUMMYFUNCTION("""COMPUTED_VALUE"""),0)</f>
        <v>0</v>
      </c>
      <c r="Q265" s="23">
        <f ca="1">IFERROR(__xludf.DUMMYFUNCTION("""COMPUTED_VALUE"""),500)</f>
        <v>500</v>
      </c>
      <c r="R265" s="23">
        <f ca="1">IFERROR(__xludf.DUMMYFUNCTION("""COMPUTED_VALUE"""),0)</f>
        <v>0</v>
      </c>
      <c r="S265" s="24" t="str">
        <f ca="1">IFERROR(__xludf.DUMMYFUNCTION("""COMPUTED_VALUE"""),"Swarm")</f>
        <v>Swarm</v>
      </c>
      <c r="T265" s="24" t="str">
        <f ca="1">IFERROR(__xludf.DUMMYFUNCTION("""COMPUTED_VALUE"""),"Technician")</f>
        <v>Technician</v>
      </c>
      <c r="U265" s="24" t="str">
        <f ca="1">IFERROR(__xludf.DUMMYFUNCTION("""COMPUTED_VALUE"""),"Steadfast")</f>
        <v>Steadfast</v>
      </c>
      <c r="V265" s="25"/>
      <c r="W265" s="25"/>
      <c r="X265" s="25"/>
      <c r="Y265" s="25" t="str">
        <f ca="1">IFERROR(__xludf.DUMMYFUNCTION("""COMPUTED_VALUE"""),"Sea of Asteri, Sea of Vulcai (wild)")</f>
        <v>Sea of Asteri, Sea of Vulcai (wild)</v>
      </c>
    </row>
    <row r="266" spans="1:25" x14ac:dyDescent="0.25">
      <c r="A266" s="15" t="str">
        <f ca="1">IFERROR(__xludf.DUMMYFUNCTION("""COMPUTED_VALUE"""),"Scizor")</f>
        <v>Scizor</v>
      </c>
      <c r="B266" s="16">
        <f ca="1">IFERROR(__xludf.DUMMYFUNCTION("""COMPUTED_VALUE"""),265)</f>
        <v>265</v>
      </c>
      <c r="C266" s="3" t="str">
        <f ca="1">IFERROR(__xludf.DUMMYFUNCTION("""COMPUTED_VALUE"""),"Bug")</f>
        <v>Bug</v>
      </c>
      <c r="D266" s="3" t="str">
        <f ca="1">IFERROR(__xludf.DUMMYFUNCTION("""COMPUTED_VALUE"""),"Steel")</f>
        <v>Steel</v>
      </c>
      <c r="E266" s="17">
        <f ca="1">IFERROR(__xludf.DUMMYFUNCTION("""COMPUTED_VALUE"""),70)</f>
        <v>70</v>
      </c>
      <c r="F266" s="17">
        <f ca="1">IFERROR(__xludf.DUMMYFUNCTION("""COMPUTED_VALUE"""),0)</f>
        <v>0</v>
      </c>
      <c r="G266" s="18">
        <f ca="1">IFERROR(__xludf.DUMMYFUNCTION("""COMPUTED_VALUE"""),130)</f>
        <v>130</v>
      </c>
      <c r="H266" s="18">
        <f ca="1">IFERROR(__xludf.DUMMYFUNCTION("""COMPUTED_VALUE"""),0)</f>
        <v>0</v>
      </c>
      <c r="I266" s="19">
        <f ca="1">IFERROR(__xludf.DUMMYFUNCTION("""COMPUTED_VALUE"""),100)</f>
        <v>100</v>
      </c>
      <c r="J266" s="19">
        <f ca="1">IFERROR(__xludf.DUMMYFUNCTION("""COMPUTED_VALUE"""),0)</f>
        <v>0</v>
      </c>
      <c r="K266" s="20">
        <f ca="1">IFERROR(__xludf.DUMMYFUNCTION("""COMPUTED_VALUE"""),55)</f>
        <v>55</v>
      </c>
      <c r="L266" s="20">
        <f ca="1">IFERROR(__xludf.DUMMYFUNCTION("""COMPUTED_VALUE"""),0)</f>
        <v>0</v>
      </c>
      <c r="M266" s="21">
        <f ca="1">IFERROR(__xludf.DUMMYFUNCTION("""COMPUTED_VALUE"""),80)</f>
        <v>80</v>
      </c>
      <c r="N266" s="21">
        <f ca="1">IFERROR(__xludf.DUMMYFUNCTION("""COMPUTED_VALUE"""),0)</f>
        <v>0</v>
      </c>
      <c r="O266" s="22">
        <f ca="1">IFERROR(__xludf.DUMMYFUNCTION("""COMPUTED_VALUE"""),65)</f>
        <v>65</v>
      </c>
      <c r="P266" s="22">
        <f ca="1">IFERROR(__xludf.DUMMYFUNCTION("""COMPUTED_VALUE"""),0)</f>
        <v>0</v>
      </c>
      <c r="Q266" s="23">
        <f ca="1">IFERROR(__xludf.DUMMYFUNCTION("""COMPUTED_VALUE"""),500)</f>
        <v>500</v>
      </c>
      <c r="R266" s="23">
        <f ca="1">IFERROR(__xludf.DUMMYFUNCTION("""COMPUTED_VALUE"""),0)</f>
        <v>0</v>
      </c>
      <c r="S266" s="24" t="str">
        <f ca="1">IFERROR(__xludf.DUMMYFUNCTION("""COMPUTED_VALUE"""),"Swarm")</f>
        <v>Swarm</v>
      </c>
      <c r="T266" s="24" t="str">
        <f ca="1">IFERROR(__xludf.DUMMYFUNCTION("""COMPUTED_VALUE"""),"Technician")</f>
        <v>Technician</v>
      </c>
      <c r="U266" s="24" t="str">
        <f ca="1">IFERROR(__xludf.DUMMYFUNCTION("""COMPUTED_VALUE"""),"Light Metal")</f>
        <v>Light Metal</v>
      </c>
      <c r="V266" s="25" t="str">
        <f ca="1">IFERROR(__xludf.DUMMYFUNCTION("""COMPUTED_VALUE"""),"Metal Coat")</f>
        <v>Metal Coat</v>
      </c>
      <c r="W266" s="25"/>
      <c r="X266" s="25"/>
      <c r="Y266" s="25" t="str">
        <f ca="1">IFERROR(__xludf.DUMMYFUNCTION("""COMPUTED_VALUE"""),"Scyther (evolve)")</f>
        <v>Scyther (evolve)</v>
      </c>
    </row>
    <row r="267" spans="1:25" x14ac:dyDescent="0.25">
      <c r="A267" s="15" t="str">
        <f ca="1">IFERROR(__xludf.DUMMYFUNCTION("""COMPUTED_VALUE"""),"Kleavor")</f>
        <v>Kleavor</v>
      </c>
      <c r="B267" s="16">
        <f ca="1">IFERROR(__xludf.DUMMYFUNCTION("""COMPUTED_VALUE"""),266)</f>
        <v>266</v>
      </c>
      <c r="C267" s="3" t="str">
        <f ca="1">IFERROR(__xludf.DUMMYFUNCTION("""COMPUTED_VALUE"""),"Bug")</f>
        <v>Bug</v>
      </c>
      <c r="D267" s="3" t="str">
        <f ca="1">IFERROR(__xludf.DUMMYFUNCTION("""COMPUTED_VALUE"""),"Rock")</f>
        <v>Rock</v>
      </c>
      <c r="E267" s="17">
        <f ca="1">IFERROR(__xludf.DUMMYFUNCTION("""COMPUTED_VALUE"""),70)</f>
        <v>70</v>
      </c>
      <c r="F267" s="17">
        <f ca="1">IFERROR(__xludf.DUMMYFUNCTION("""COMPUTED_VALUE"""),0)</f>
        <v>0</v>
      </c>
      <c r="G267" s="18">
        <f ca="1">IFERROR(__xludf.DUMMYFUNCTION("""COMPUTED_VALUE"""),135)</f>
        <v>135</v>
      </c>
      <c r="H267" s="18">
        <f ca="1">IFERROR(__xludf.DUMMYFUNCTION("""COMPUTED_VALUE"""),0)</f>
        <v>0</v>
      </c>
      <c r="I267" s="19">
        <f ca="1">IFERROR(__xludf.DUMMYFUNCTION("""COMPUTED_VALUE"""),100)</f>
        <v>100</v>
      </c>
      <c r="J267" s="19">
        <f ca="1">IFERROR(__xludf.DUMMYFUNCTION("""COMPUTED_VALUE"""),5)</f>
        <v>5</v>
      </c>
      <c r="K267" s="20">
        <f ca="1">IFERROR(__xludf.DUMMYFUNCTION("""COMPUTED_VALUE"""),45)</f>
        <v>45</v>
      </c>
      <c r="L267" s="20">
        <f ca="1">IFERROR(__xludf.DUMMYFUNCTION("""COMPUTED_VALUE"""),0)</f>
        <v>0</v>
      </c>
      <c r="M267" s="21">
        <f ca="1">IFERROR(__xludf.DUMMYFUNCTION("""COMPUTED_VALUE"""),75)</f>
        <v>75</v>
      </c>
      <c r="N267" s="21">
        <f ca="1">IFERROR(__xludf.DUMMYFUNCTION("""COMPUTED_VALUE"""),5)</f>
        <v>5</v>
      </c>
      <c r="O267" s="22">
        <f ca="1">IFERROR(__xludf.DUMMYFUNCTION("""COMPUTED_VALUE"""),75)</f>
        <v>75</v>
      </c>
      <c r="P267" s="22">
        <f ca="1">IFERROR(__xludf.DUMMYFUNCTION("""COMPUTED_VALUE"""),-10)</f>
        <v>-10</v>
      </c>
      <c r="Q267" s="23">
        <f ca="1">IFERROR(__xludf.DUMMYFUNCTION("""COMPUTED_VALUE"""),500)</f>
        <v>500</v>
      </c>
      <c r="R267" s="23">
        <f ca="1">IFERROR(__xludf.DUMMYFUNCTION("""COMPUTED_VALUE"""),0)</f>
        <v>0</v>
      </c>
      <c r="S267" s="24" t="str">
        <f ca="1">IFERROR(__xludf.DUMMYFUNCTION("""COMPUTED_VALUE"""),"Swarm")</f>
        <v>Swarm</v>
      </c>
      <c r="T267" s="24" t="str">
        <f ca="1">IFERROR(__xludf.DUMMYFUNCTION("""COMPUTED_VALUE"""),"Technician")</f>
        <v>Technician</v>
      </c>
      <c r="U267" s="24" t="str">
        <f ca="1">IFERROR(__xludf.DUMMYFUNCTION("""COMPUTED_VALUE"""),"Sharpness")</f>
        <v>Sharpness</v>
      </c>
      <c r="V267" s="25" t="str">
        <f ca="1">IFERROR(__xludf.DUMMYFUNCTION("""COMPUTED_VALUE"""),"Black Augurite")</f>
        <v>Black Augurite</v>
      </c>
      <c r="W267" s="25"/>
      <c r="X267" s="25"/>
      <c r="Y267" s="25" t="str">
        <f ca="1">IFERROR(__xludf.DUMMYFUNCTION("""COMPUTED_VALUE"""),"Scyther (evolve)")</f>
        <v>Scyther (evolve)</v>
      </c>
    </row>
    <row r="268" spans="1:25" x14ac:dyDescent="0.25">
      <c r="A268" s="15" t="str">
        <f ca="1">IFERROR(__xludf.DUMMYFUNCTION("""COMPUTED_VALUE"""),"Stufful")</f>
        <v>Stufful</v>
      </c>
      <c r="B268" s="16">
        <f ca="1">IFERROR(__xludf.DUMMYFUNCTION("""COMPUTED_VALUE"""),267)</f>
        <v>267</v>
      </c>
      <c r="C268" s="3" t="str">
        <f ca="1">IFERROR(__xludf.DUMMYFUNCTION("""COMPUTED_VALUE"""),"Normal")</f>
        <v>Normal</v>
      </c>
      <c r="D268" s="3" t="str">
        <f ca="1">IFERROR(__xludf.DUMMYFUNCTION("""COMPUTED_VALUE"""),"Fighting")</f>
        <v>Fighting</v>
      </c>
      <c r="E268" s="17">
        <f ca="1">IFERROR(__xludf.DUMMYFUNCTION("""COMPUTED_VALUE"""),70)</f>
        <v>70</v>
      </c>
      <c r="F268" s="17">
        <f ca="1">IFERROR(__xludf.DUMMYFUNCTION("""COMPUTED_VALUE"""),0)</f>
        <v>0</v>
      </c>
      <c r="G268" s="18">
        <f ca="1">IFERROR(__xludf.DUMMYFUNCTION("""COMPUTED_VALUE"""),75)</f>
        <v>75</v>
      </c>
      <c r="H268" s="18">
        <f ca="1">IFERROR(__xludf.DUMMYFUNCTION("""COMPUTED_VALUE"""),0)</f>
        <v>0</v>
      </c>
      <c r="I268" s="19">
        <f ca="1">IFERROR(__xludf.DUMMYFUNCTION("""COMPUTED_VALUE"""),50)</f>
        <v>50</v>
      </c>
      <c r="J268" s="19">
        <f ca="1">IFERROR(__xludf.DUMMYFUNCTION("""COMPUTED_VALUE"""),0)</f>
        <v>0</v>
      </c>
      <c r="K268" s="20">
        <f ca="1">IFERROR(__xludf.DUMMYFUNCTION("""COMPUTED_VALUE"""),45)</f>
        <v>45</v>
      </c>
      <c r="L268" s="20">
        <f ca="1">IFERROR(__xludf.DUMMYFUNCTION("""COMPUTED_VALUE"""),0)</f>
        <v>0</v>
      </c>
      <c r="M268" s="21">
        <f ca="1">IFERROR(__xludf.DUMMYFUNCTION("""COMPUTED_VALUE"""),50)</f>
        <v>50</v>
      </c>
      <c r="N268" s="21">
        <f ca="1">IFERROR(__xludf.DUMMYFUNCTION("""COMPUTED_VALUE"""),0)</f>
        <v>0</v>
      </c>
      <c r="O268" s="22">
        <f ca="1">IFERROR(__xludf.DUMMYFUNCTION("""COMPUTED_VALUE"""),50)</f>
        <v>50</v>
      </c>
      <c r="P268" s="22">
        <f ca="1">IFERROR(__xludf.DUMMYFUNCTION("""COMPUTED_VALUE"""),0)</f>
        <v>0</v>
      </c>
      <c r="Q268" s="23">
        <f ca="1">IFERROR(__xludf.DUMMYFUNCTION("""COMPUTED_VALUE"""),340)</f>
        <v>340</v>
      </c>
      <c r="R268" s="23">
        <f ca="1">IFERROR(__xludf.DUMMYFUNCTION("""COMPUTED_VALUE"""),0)</f>
        <v>0</v>
      </c>
      <c r="S268" s="24" t="str">
        <f ca="1">IFERROR(__xludf.DUMMYFUNCTION("""COMPUTED_VALUE"""),"Fluffy")</f>
        <v>Fluffy</v>
      </c>
      <c r="T268" s="24" t="str">
        <f ca="1">IFERROR(__xludf.DUMMYFUNCTION("""COMPUTED_VALUE"""),"Reckless")</f>
        <v>Reckless</v>
      </c>
      <c r="U268" s="24" t="str">
        <f ca="1">IFERROR(__xludf.DUMMYFUNCTION("""COMPUTED_VALUE"""),"Cute Charm")</f>
        <v>Cute Charm</v>
      </c>
      <c r="V268" s="25"/>
      <c r="W268" s="25"/>
      <c r="X268" s="25"/>
      <c r="Y268" s="25" t="str">
        <f ca="1">IFERROR(__xludf.DUMMYFUNCTION("""COMPUTED_VALUE"""),"Sea of Asteri (wild)")</f>
        <v>Sea of Asteri (wild)</v>
      </c>
    </row>
    <row r="269" spans="1:25" x14ac:dyDescent="0.25">
      <c r="A269" s="15" t="str">
        <f ca="1">IFERROR(__xludf.DUMMYFUNCTION("""COMPUTED_VALUE"""),"Bewear")</f>
        <v>Bewear</v>
      </c>
      <c r="B269" s="16">
        <f ca="1">IFERROR(__xludf.DUMMYFUNCTION("""COMPUTED_VALUE"""),268)</f>
        <v>268</v>
      </c>
      <c r="C269" s="3" t="str">
        <f ca="1">IFERROR(__xludf.DUMMYFUNCTION("""COMPUTED_VALUE"""),"Normal")</f>
        <v>Normal</v>
      </c>
      <c r="D269" s="3" t="str">
        <f ca="1">IFERROR(__xludf.DUMMYFUNCTION("""COMPUTED_VALUE"""),"Fighting")</f>
        <v>Fighting</v>
      </c>
      <c r="E269" s="17">
        <f ca="1">IFERROR(__xludf.DUMMYFUNCTION("""COMPUTED_VALUE"""),120)</f>
        <v>120</v>
      </c>
      <c r="F269" s="17">
        <f ca="1">IFERROR(__xludf.DUMMYFUNCTION("""COMPUTED_VALUE"""),0)</f>
        <v>0</v>
      </c>
      <c r="G269" s="18">
        <f ca="1">IFERROR(__xludf.DUMMYFUNCTION("""COMPUTED_VALUE"""),125)</f>
        <v>125</v>
      </c>
      <c r="H269" s="18">
        <f ca="1">IFERROR(__xludf.DUMMYFUNCTION("""COMPUTED_VALUE"""),0)</f>
        <v>0</v>
      </c>
      <c r="I269" s="19">
        <f ca="1">IFERROR(__xludf.DUMMYFUNCTION("""COMPUTED_VALUE"""),80)</f>
        <v>80</v>
      </c>
      <c r="J269" s="19">
        <f ca="1">IFERROR(__xludf.DUMMYFUNCTION("""COMPUTED_VALUE"""),0)</f>
        <v>0</v>
      </c>
      <c r="K269" s="20">
        <f ca="1">IFERROR(__xludf.DUMMYFUNCTION("""COMPUTED_VALUE"""),55)</f>
        <v>55</v>
      </c>
      <c r="L269" s="20">
        <f ca="1">IFERROR(__xludf.DUMMYFUNCTION("""COMPUTED_VALUE"""),0)</f>
        <v>0</v>
      </c>
      <c r="M269" s="21">
        <f ca="1">IFERROR(__xludf.DUMMYFUNCTION("""COMPUTED_VALUE"""),60)</f>
        <v>60</v>
      </c>
      <c r="N269" s="21">
        <f ca="1">IFERROR(__xludf.DUMMYFUNCTION("""COMPUTED_VALUE"""),0)</f>
        <v>0</v>
      </c>
      <c r="O269" s="22">
        <f ca="1">IFERROR(__xludf.DUMMYFUNCTION("""COMPUTED_VALUE"""),60)</f>
        <v>60</v>
      </c>
      <c r="P269" s="22">
        <f ca="1">IFERROR(__xludf.DUMMYFUNCTION("""COMPUTED_VALUE"""),0)</f>
        <v>0</v>
      </c>
      <c r="Q269" s="23">
        <f ca="1">IFERROR(__xludf.DUMMYFUNCTION("""COMPUTED_VALUE"""),500)</f>
        <v>500</v>
      </c>
      <c r="R269" s="23">
        <f ca="1">IFERROR(__xludf.DUMMYFUNCTION("""COMPUTED_VALUE"""),0)</f>
        <v>0</v>
      </c>
      <c r="S269" s="24" t="str">
        <f ca="1">IFERROR(__xludf.DUMMYFUNCTION("""COMPUTED_VALUE"""),"Fluffy")</f>
        <v>Fluffy</v>
      </c>
      <c r="T269" s="24" t="str">
        <f ca="1">IFERROR(__xludf.DUMMYFUNCTION("""COMPUTED_VALUE"""),"Reckless")</f>
        <v>Reckless</v>
      </c>
      <c r="U269" s="24" t="str">
        <f ca="1">IFERROR(__xludf.DUMMYFUNCTION("""COMPUTED_VALUE"""),"Unnerve")</f>
        <v>Unnerve</v>
      </c>
      <c r="V269" s="25" t="str">
        <f ca="1">IFERROR(__xludf.DUMMYFUNCTION("""COMPUTED_VALUE"""),"Lv. 27")</f>
        <v>Lv. 27</v>
      </c>
      <c r="W269" s="25"/>
      <c r="X269" s="25"/>
      <c r="Y269" s="25" t="str">
        <f ca="1">IFERROR(__xludf.DUMMYFUNCTION("""COMPUTED_VALUE"""),"Stufful (evolve)")</f>
        <v>Stufful (evolve)</v>
      </c>
    </row>
    <row r="270" spans="1:25" x14ac:dyDescent="0.25">
      <c r="A270" s="15" t="str">
        <f ca="1">IFERROR(__xludf.DUMMYFUNCTION("""COMPUTED_VALUE"""),"Dreepy")</f>
        <v>Dreepy</v>
      </c>
      <c r="B270" s="16">
        <f ca="1">IFERROR(__xludf.DUMMYFUNCTION("""COMPUTED_VALUE"""),269)</f>
        <v>269</v>
      </c>
      <c r="C270" s="3" t="str">
        <f ca="1">IFERROR(__xludf.DUMMYFUNCTION("""COMPUTED_VALUE"""),"Dragon")</f>
        <v>Dragon</v>
      </c>
      <c r="D270" s="3" t="str">
        <f ca="1">IFERROR(__xludf.DUMMYFUNCTION("""COMPUTED_VALUE"""),"Ghost")</f>
        <v>Ghost</v>
      </c>
      <c r="E270" s="17">
        <f ca="1">IFERROR(__xludf.DUMMYFUNCTION("""COMPUTED_VALUE"""),28)</f>
        <v>28</v>
      </c>
      <c r="F270" s="17">
        <f ca="1">IFERROR(__xludf.DUMMYFUNCTION("""COMPUTED_VALUE"""),0)</f>
        <v>0</v>
      </c>
      <c r="G270" s="18">
        <f ca="1">IFERROR(__xludf.DUMMYFUNCTION("""COMPUTED_VALUE"""),60)</f>
        <v>60</v>
      </c>
      <c r="H270" s="18">
        <f ca="1">IFERROR(__xludf.DUMMYFUNCTION("""COMPUTED_VALUE"""),0)</f>
        <v>0</v>
      </c>
      <c r="I270" s="19">
        <f ca="1">IFERROR(__xludf.DUMMYFUNCTION("""COMPUTED_VALUE"""),30)</f>
        <v>30</v>
      </c>
      <c r="J270" s="19">
        <f ca="1">IFERROR(__xludf.DUMMYFUNCTION("""COMPUTED_VALUE"""),0)</f>
        <v>0</v>
      </c>
      <c r="K270" s="20">
        <f ca="1">IFERROR(__xludf.DUMMYFUNCTION("""COMPUTED_VALUE"""),40)</f>
        <v>40</v>
      </c>
      <c r="L270" s="20">
        <f ca="1">IFERROR(__xludf.DUMMYFUNCTION("""COMPUTED_VALUE"""),0)</f>
        <v>0</v>
      </c>
      <c r="M270" s="21">
        <f ca="1">IFERROR(__xludf.DUMMYFUNCTION("""COMPUTED_VALUE"""),30)</f>
        <v>30</v>
      </c>
      <c r="N270" s="21">
        <f ca="1">IFERROR(__xludf.DUMMYFUNCTION("""COMPUTED_VALUE"""),0)</f>
        <v>0</v>
      </c>
      <c r="O270" s="22">
        <f ca="1">IFERROR(__xludf.DUMMYFUNCTION("""COMPUTED_VALUE"""),82)</f>
        <v>82</v>
      </c>
      <c r="P270" s="22">
        <f ca="1">IFERROR(__xludf.DUMMYFUNCTION("""COMPUTED_VALUE"""),0)</f>
        <v>0</v>
      </c>
      <c r="Q270" s="23">
        <f ca="1">IFERROR(__xludf.DUMMYFUNCTION("""COMPUTED_VALUE"""),270)</f>
        <v>270</v>
      </c>
      <c r="R270" s="23">
        <f ca="1">IFERROR(__xludf.DUMMYFUNCTION("""COMPUTED_VALUE"""),0)</f>
        <v>0</v>
      </c>
      <c r="S270" s="25" t="str">
        <f ca="1">IFERROR(__xludf.DUMMYFUNCTION("""COMPUTED_VALUE"""),"Clear Body")</f>
        <v>Clear Body</v>
      </c>
      <c r="T270" s="25" t="str">
        <f ca="1">IFERROR(__xludf.DUMMYFUNCTION("""COMPUTED_VALUE"""),"Infiltrator")</f>
        <v>Infiltrator</v>
      </c>
      <c r="U270" s="25" t="str">
        <f ca="1">IFERROR(__xludf.DUMMYFUNCTION("""COMPUTED_VALUE"""),"Cursed Body")</f>
        <v>Cursed Body</v>
      </c>
      <c r="V270" s="25"/>
      <c r="W270" s="25"/>
      <c r="X270" s="25"/>
      <c r="Y270" s="25"/>
    </row>
    <row r="271" spans="1:25" x14ac:dyDescent="0.25">
      <c r="A271" s="15" t="str">
        <f ca="1">IFERROR(__xludf.DUMMYFUNCTION("""COMPUTED_VALUE"""),"Drakloak")</f>
        <v>Drakloak</v>
      </c>
      <c r="B271" s="16">
        <f ca="1">IFERROR(__xludf.DUMMYFUNCTION("""COMPUTED_VALUE"""),270)</f>
        <v>270</v>
      </c>
      <c r="C271" s="3" t="str">
        <f ca="1">IFERROR(__xludf.DUMMYFUNCTION("""COMPUTED_VALUE"""),"Dragon")</f>
        <v>Dragon</v>
      </c>
      <c r="D271" s="3" t="str">
        <f ca="1">IFERROR(__xludf.DUMMYFUNCTION("""COMPUTED_VALUE"""),"Ghost")</f>
        <v>Ghost</v>
      </c>
      <c r="E271" s="17">
        <f ca="1">IFERROR(__xludf.DUMMYFUNCTION("""COMPUTED_VALUE"""),68)</f>
        <v>68</v>
      </c>
      <c r="F271" s="17">
        <f ca="1">IFERROR(__xludf.DUMMYFUNCTION("""COMPUTED_VALUE"""),0)</f>
        <v>0</v>
      </c>
      <c r="G271" s="18">
        <f ca="1">IFERROR(__xludf.DUMMYFUNCTION("""COMPUTED_VALUE"""),90)</f>
        <v>90</v>
      </c>
      <c r="H271" s="18">
        <f ca="1">IFERROR(__xludf.DUMMYFUNCTION("""COMPUTED_VALUE"""),10)</f>
        <v>10</v>
      </c>
      <c r="I271" s="19">
        <f ca="1">IFERROR(__xludf.DUMMYFUNCTION("""COMPUTED_VALUE"""),50)</f>
        <v>50</v>
      </c>
      <c r="J271" s="19">
        <f ca="1">IFERROR(__xludf.DUMMYFUNCTION("""COMPUTED_VALUE"""),0)</f>
        <v>0</v>
      </c>
      <c r="K271" s="20">
        <f ca="1">IFERROR(__xludf.DUMMYFUNCTION("""COMPUTED_VALUE"""),60)</f>
        <v>60</v>
      </c>
      <c r="L271" s="20">
        <f ca="1">IFERROR(__xludf.DUMMYFUNCTION("""COMPUTED_VALUE"""),0)</f>
        <v>0</v>
      </c>
      <c r="M271" s="21">
        <f ca="1">IFERROR(__xludf.DUMMYFUNCTION("""COMPUTED_VALUE"""),50)</f>
        <v>50</v>
      </c>
      <c r="N271" s="21">
        <f ca="1">IFERROR(__xludf.DUMMYFUNCTION("""COMPUTED_VALUE"""),0)</f>
        <v>0</v>
      </c>
      <c r="O271" s="22">
        <f ca="1">IFERROR(__xludf.DUMMYFUNCTION("""COMPUTED_VALUE"""),102)</f>
        <v>102</v>
      </c>
      <c r="P271" s="22">
        <f ca="1">IFERROR(__xludf.DUMMYFUNCTION("""COMPUTED_VALUE"""),0)</f>
        <v>0</v>
      </c>
      <c r="Q271" s="23">
        <f ca="1">IFERROR(__xludf.DUMMYFUNCTION("""COMPUTED_VALUE"""),420)</f>
        <v>420</v>
      </c>
      <c r="R271" s="23">
        <f ca="1">IFERROR(__xludf.DUMMYFUNCTION("""COMPUTED_VALUE"""),10)</f>
        <v>10</v>
      </c>
      <c r="S271" s="25" t="str">
        <f ca="1">IFERROR(__xludf.DUMMYFUNCTION("""COMPUTED_VALUE"""),"Clear Body")</f>
        <v>Clear Body</v>
      </c>
      <c r="T271" s="25" t="str">
        <f ca="1">IFERROR(__xludf.DUMMYFUNCTION("""COMPUTED_VALUE"""),"Infiltrator")</f>
        <v>Infiltrator</v>
      </c>
      <c r="U271" s="25" t="str">
        <f ca="1">IFERROR(__xludf.DUMMYFUNCTION("""COMPUTED_VALUE"""),"Cursed Body")</f>
        <v>Cursed Body</v>
      </c>
      <c r="V271" s="25" t="str">
        <f ca="1">IFERROR(__xludf.DUMMYFUNCTION("""COMPUTED_VALUE"""),"Lv. 28")</f>
        <v>Lv. 28</v>
      </c>
      <c r="W271" s="25"/>
      <c r="X271" s="25"/>
      <c r="Y271" s="25"/>
    </row>
    <row r="272" spans="1:25" x14ac:dyDescent="0.25">
      <c r="A272" s="15" t="str">
        <f ca="1">IFERROR(__xludf.DUMMYFUNCTION("""COMPUTED_VALUE"""),"Dragapult")</f>
        <v>Dragapult</v>
      </c>
      <c r="B272" s="16">
        <f ca="1">IFERROR(__xludf.DUMMYFUNCTION("""COMPUTED_VALUE"""),271)</f>
        <v>271</v>
      </c>
      <c r="C272" s="3" t="str">
        <f ca="1">IFERROR(__xludf.DUMMYFUNCTION("""COMPUTED_VALUE"""),"Dragon")</f>
        <v>Dragon</v>
      </c>
      <c r="D272" s="3" t="str">
        <f ca="1">IFERROR(__xludf.DUMMYFUNCTION("""COMPUTED_VALUE"""),"Ghost")</f>
        <v>Ghost</v>
      </c>
      <c r="E272" s="17">
        <f ca="1">IFERROR(__xludf.DUMMYFUNCTION("""COMPUTED_VALUE"""),88)</f>
        <v>88</v>
      </c>
      <c r="F272" s="17">
        <f ca="1">IFERROR(__xludf.DUMMYFUNCTION("""COMPUTED_VALUE"""),0)</f>
        <v>0</v>
      </c>
      <c r="G272" s="18">
        <f ca="1">IFERROR(__xludf.DUMMYFUNCTION("""COMPUTED_VALUE"""),120)</f>
        <v>120</v>
      </c>
      <c r="H272" s="18">
        <f ca="1">IFERROR(__xludf.DUMMYFUNCTION("""COMPUTED_VALUE"""),0)</f>
        <v>0</v>
      </c>
      <c r="I272" s="19">
        <f ca="1">IFERROR(__xludf.DUMMYFUNCTION("""COMPUTED_VALUE"""),75)</f>
        <v>75</v>
      </c>
      <c r="J272" s="19">
        <f ca="1">IFERROR(__xludf.DUMMYFUNCTION("""COMPUTED_VALUE"""),0)</f>
        <v>0</v>
      </c>
      <c r="K272" s="20">
        <f ca="1">IFERROR(__xludf.DUMMYFUNCTION("""COMPUTED_VALUE"""),100)</f>
        <v>100</v>
      </c>
      <c r="L272" s="20">
        <f ca="1">IFERROR(__xludf.DUMMYFUNCTION("""COMPUTED_VALUE"""),0)</f>
        <v>0</v>
      </c>
      <c r="M272" s="21">
        <f ca="1">IFERROR(__xludf.DUMMYFUNCTION("""COMPUTED_VALUE"""),75)</f>
        <v>75</v>
      </c>
      <c r="N272" s="21">
        <f ca="1">IFERROR(__xludf.DUMMYFUNCTION("""COMPUTED_VALUE"""),0)</f>
        <v>0</v>
      </c>
      <c r="O272" s="22">
        <f ca="1">IFERROR(__xludf.DUMMYFUNCTION("""COMPUTED_VALUE"""),142)</f>
        <v>142</v>
      </c>
      <c r="P272" s="22">
        <f ca="1">IFERROR(__xludf.DUMMYFUNCTION("""COMPUTED_VALUE"""),0)</f>
        <v>0</v>
      </c>
      <c r="Q272" s="23">
        <f ca="1">IFERROR(__xludf.DUMMYFUNCTION("""COMPUTED_VALUE"""),600)</f>
        <v>600</v>
      </c>
      <c r="R272" s="23">
        <f ca="1">IFERROR(__xludf.DUMMYFUNCTION("""COMPUTED_VALUE"""),0)</f>
        <v>0</v>
      </c>
      <c r="S272" s="25" t="str">
        <f ca="1">IFERROR(__xludf.DUMMYFUNCTION("""COMPUTED_VALUE"""),"Clear Body")</f>
        <v>Clear Body</v>
      </c>
      <c r="T272" s="25" t="str">
        <f ca="1">IFERROR(__xludf.DUMMYFUNCTION("""COMPUTED_VALUE"""),"Infiltrator")</f>
        <v>Infiltrator</v>
      </c>
      <c r="U272" s="25" t="str">
        <f ca="1">IFERROR(__xludf.DUMMYFUNCTION("""COMPUTED_VALUE"""),"Cursed Body")</f>
        <v>Cursed Body</v>
      </c>
      <c r="V272" s="25" t="str">
        <f ca="1">IFERROR(__xludf.DUMMYFUNCTION("""COMPUTED_VALUE"""),"Lv. 60")</f>
        <v>Lv. 60</v>
      </c>
      <c r="W272" s="25"/>
      <c r="X272" s="25"/>
      <c r="Y272" s="25"/>
    </row>
    <row r="273" spans="1:25" x14ac:dyDescent="0.25">
      <c r="A273" s="15" t="str">
        <f ca="1">IFERROR(__xludf.DUMMYFUNCTION("""COMPUTED_VALUE"""),"Togedemaru")</f>
        <v>Togedemaru</v>
      </c>
      <c r="B273" s="16">
        <f ca="1">IFERROR(__xludf.DUMMYFUNCTION("""COMPUTED_VALUE"""),272)</f>
        <v>272</v>
      </c>
      <c r="C273" s="3" t="str">
        <f ca="1">IFERROR(__xludf.DUMMYFUNCTION("""COMPUTED_VALUE"""),"Electric")</f>
        <v>Electric</v>
      </c>
      <c r="D273" s="3" t="str">
        <f ca="1">IFERROR(__xludf.DUMMYFUNCTION("""COMPUTED_VALUE"""),"Steel")</f>
        <v>Steel</v>
      </c>
      <c r="E273" s="17">
        <f ca="1">IFERROR(__xludf.DUMMYFUNCTION("""COMPUTED_VALUE"""),85)</f>
        <v>85</v>
      </c>
      <c r="F273" s="17">
        <f ca="1">IFERROR(__xludf.DUMMYFUNCTION("""COMPUTED_VALUE"""),20)</f>
        <v>20</v>
      </c>
      <c r="G273" s="18">
        <f ca="1">IFERROR(__xludf.DUMMYFUNCTION("""COMPUTED_VALUE"""),98)</f>
        <v>98</v>
      </c>
      <c r="H273" s="18">
        <f ca="1">IFERROR(__xludf.DUMMYFUNCTION("""COMPUTED_VALUE"""),0)</f>
        <v>0</v>
      </c>
      <c r="I273" s="19">
        <f ca="1">IFERROR(__xludf.DUMMYFUNCTION("""COMPUTED_VALUE"""),83)</f>
        <v>83</v>
      </c>
      <c r="J273" s="19">
        <f ca="1">IFERROR(__xludf.DUMMYFUNCTION("""COMPUTED_VALUE"""),20)</f>
        <v>20</v>
      </c>
      <c r="K273" s="20">
        <f ca="1">IFERROR(__xludf.DUMMYFUNCTION("""COMPUTED_VALUE"""),40)</f>
        <v>40</v>
      </c>
      <c r="L273" s="20">
        <f ca="1">IFERROR(__xludf.DUMMYFUNCTION("""COMPUTED_VALUE"""),0)</f>
        <v>0</v>
      </c>
      <c r="M273" s="21">
        <f ca="1">IFERROR(__xludf.DUMMYFUNCTION("""COMPUTED_VALUE"""),73)</f>
        <v>73</v>
      </c>
      <c r="N273" s="21">
        <f ca="1">IFERROR(__xludf.DUMMYFUNCTION("""COMPUTED_VALUE"""),0)</f>
        <v>0</v>
      </c>
      <c r="O273" s="22">
        <f ca="1">IFERROR(__xludf.DUMMYFUNCTION("""COMPUTED_VALUE"""),96)</f>
        <v>96</v>
      </c>
      <c r="P273" s="22">
        <f ca="1">IFERROR(__xludf.DUMMYFUNCTION("""COMPUTED_VALUE"""),0)</f>
        <v>0</v>
      </c>
      <c r="Q273" s="23">
        <f ca="1">IFERROR(__xludf.DUMMYFUNCTION("""COMPUTED_VALUE"""),475)</f>
        <v>475</v>
      </c>
      <c r="R273" s="23">
        <f ca="1">IFERROR(__xludf.DUMMYFUNCTION("""COMPUTED_VALUE"""),40)</f>
        <v>40</v>
      </c>
      <c r="S273" s="24" t="str">
        <f ca="1">IFERROR(__xludf.DUMMYFUNCTION("""COMPUTED_VALUE"""),"Spiked Shell")</f>
        <v>Spiked Shell</v>
      </c>
      <c r="T273" s="24" t="str">
        <f ca="1">IFERROR(__xludf.DUMMYFUNCTION("""COMPUTED_VALUE"""),"Lightning Rod")</f>
        <v>Lightning Rod</v>
      </c>
      <c r="U273" s="24" t="str">
        <f ca="1">IFERROR(__xludf.DUMMYFUNCTION("""COMPUTED_VALUE"""),"Sturdy")</f>
        <v>Sturdy</v>
      </c>
      <c r="V273" s="25"/>
      <c r="W273" s="25"/>
      <c r="X273" s="25" t="str">
        <f ca="1">IFERROR(__xludf.DUMMYFUNCTION("""COMPUTED_VALUE"""),"Electric Seed")</f>
        <v>Electric Seed</v>
      </c>
      <c r="Y273" s="25" t="str">
        <f ca="1">IFERROR(__xludf.DUMMYFUNCTION("""COMPUTED_VALUE"""),"Wanderer`s Woods, Marmaro Island (wild)")</f>
        <v>Wanderer`s Woods, Marmaro Island (wild)</v>
      </c>
    </row>
    <row r="274" spans="1:25" x14ac:dyDescent="0.25">
      <c r="A274" s="15" t="str">
        <f ca="1">IFERROR(__xludf.DUMMYFUNCTION("""COMPUTED_VALUE"""),"Crabrawler")</f>
        <v>Crabrawler</v>
      </c>
      <c r="B274" s="16">
        <f ca="1">IFERROR(__xludf.DUMMYFUNCTION("""COMPUTED_VALUE"""),273)</f>
        <v>273</v>
      </c>
      <c r="C274" s="3" t="str">
        <f ca="1">IFERROR(__xludf.DUMMYFUNCTION("""COMPUTED_VALUE"""),"Fighting")</f>
        <v>Fighting</v>
      </c>
      <c r="D274" s="3"/>
      <c r="E274" s="17">
        <f ca="1">IFERROR(__xludf.DUMMYFUNCTION("""COMPUTED_VALUE"""),47)</f>
        <v>47</v>
      </c>
      <c r="F274" s="17">
        <f ca="1">IFERROR(__xludf.DUMMYFUNCTION("""COMPUTED_VALUE"""),0)</f>
        <v>0</v>
      </c>
      <c r="G274" s="18">
        <f ca="1">IFERROR(__xludf.DUMMYFUNCTION("""COMPUTED_VALUE"""),82)</f>
        <v>82</v>
      </c>
      <c r="H274" s="18">
        <f ca="1">IFERROR(__xludf.DUMMYFUNCTION("""COMPUTED_VALUE"""),0)</f>
        <v>0</v>
      </c>
      <c r="I274" s="19">
        <f ca="1">IFERROR(__xludf.DUMMYFUNCTION("""COMPUTED_VALUE"""),72)</f>
        <v>72</v>
      </c>
      <c r="J274" s="19">
        <f ca="1">IFERROR(__xludf.DUMMYFUNCTION("""COMPUTED_VALUE"""),15)</f>
        <v>15</v>
      </c>
      <c r="K274" s="20">
        <f ca="1">IFERROR(__xludf.DUMMYFUNCTION("""COMPUTED_VALUE"""),27)</f>
        <v>27</v>
      </c>
      <c r="L274" s="20">
        <f ca="1">IFERROR(__xludf.DUMMYFUNCTION("""COMPUTED_VALUE"""),-15)</f>
        <v>-15</v>
      </c>
      <c r="M274" s="21">
        <f ca="1">IFERROR(__xludf.DUMMYFUNCTION("""COMPUTED_VALUE"""),47)</f>
        <v>47</v>
      </c>
      <c r="N274" s="21">
        <f ca="1">IFERROR(__xludf.DUMMYFUNCTION("""COMPUTED_VALUE"""),0)</f>
        <v>0</v>
      </c>
      <c r="O274" s="22">
        <f ca="1">IFERROR(__xludf.DUMMYFUNCTION("""COMPUTED_VALUE"""),63)</f>
        <v>63</v>
      </c>
      <c r="P274" s="22">
        <f ca="1">IFERROR(__xludf.DUMMYFUNCTION("""COMPUTED_VALUE"""),0)</f>
        <v>0</v>
      </c>
      <c r="Q274" s="23">
        <f ca="1">IFERROR(__xludf.DUMMYFUNCTION("""COMPUTED_VALUE"""),338)</f>
        <v>338</v>
      </c>
      <c r="R274" s="23">
        <f ca="1">IFERROR(__xludf.DUMMYFUNCTION("""COMPUTED_VALUE"""),0)</f>
        <v>0</v>
      </c>
      <c r="S274" s="24" t="str">
        <f ca="1">IFERROR(__xludf.DUMMYFUNCTION("""COMPUTED_VALUE"""),"Hyper Cutter")</f>
        <v>Hyper Cutter</v>
      </c>
      <c r="T274" s="24" t="str">
        <f ca="1">IFERROR(__xludf.DUMMYFUNCTION("""COMPUTED_VALUE"""),"Iron Fist")</f>
        <v>Iron Fist</v>
      </c>
      <c r="U274" s="24" t="str">
        <f ca="1">IFERROR(__xludf.DUMMYFUNCTION("""COMPUTED_VALUE"""),"Anger Point")</f>
        <v>Anger Point</v>
      </c>
      <c r="V274" s="25"/>
      <c r="W274" s="25"/>
      <c r="X274" s="25" t="str">
        <f ca="1">IFERROR(__xludf.DUMMYFUNCTION("""COMPUTED_VALUE"""),"Aspear Berry")</f>
        <v>Aspear Berry</v>
      </c>
      <c r="Y274" s="25" t="str">
        <f ca="1">IFERROR(__xludf.DUMMYFUNCTION("""COMPUTED_VALUE"""),"Sea of Asteri, Marmaro Island (wild)")</f>
        <v>Sea of Asteri, Marmaro Island (wild)</v>
      </c>
    </row>
    <row r="275" spans="1:25" x14ac:dyDescent="0.25">
      <c r="A275" s="15" t="str">
        <f ca="1">IFERROR(__xludf.DUMMYFUNCTION("""COMPUTED_VALUE"""),"Crabominable")</f>
        <v>Crabominable</v>
      </c>
      <c r="B275" s="16">
        <f ca="1">IFERROR(__xludf.DUMMYFUNCTION("""COMPUTED_VALUE"""),274)</f>
        <v>274</v>
      </c>
      <c r="C275" s="3" t="str">
        <f ca="1">IFERROR(__xludf.DUMMYFUNCTION("""COMPUTED_VALUE"""),"Fighting")</f>
        <v>Fighting</v>
      </c>
      <c r="D275" s="3" t="str">
        <f ca="1">IFERROR(__xludf.DUMMYFUNCTION("""COMPUTED_VALUE"""),"Ice")</f>
        <v>Ice</v>
      </c>
      <c r="E275" s="17">
        <f ca="1">IFERROR(__xludf.DUMMYFUNCTION("""COMPUTED_VALUE"""),102)</f>
        <v>102</v>
      </c>
      <c r="F275" s="17">
        <f ca="1">IFERROR(__xludf.DUMMYFUNCTION("""COMPUTED_VALUE"""),5)</f>
        <v>5</v>
      </c>
      <c r="G275" s="18">
        <f ca="1">IFERROR(__xludf.DUMMYFUNCTION("""COMPUTED_VALUE"""),132)</f>
        <v>132</v>
      </c>
      <c r="H275" s="18">
        <f ca="1">IFERROR(__xludf.DUMMYFUNCTION("""COMPUTED_VALUE"""),0)</f>
        <v>0</v>
      </c>
      <c r="I275" s="19">
        <f ca="1">IFERROR(__xludf.DUMMYFUNCTION("""COMPUTED_VALUE"""),87)</f>
        <v>87</v>
      </c>
      <c r="J275" s="19">
        <f ca="1">IFERROR(__xludf.DUMMYFUNCTION("""COMPUTED_VALUE"""),10)</f>
        <v>10</v>
      </c>
      <c r="K275" s="20">
        <f ca="1">IFERROR(__xludf.DUMMYFUNCTION("""COMPUTED_VALUE"""),62)</f>
        <v>62</v>
      </c>
      <c r="L275" s="20">
        <f ca="1">IFERROR(__xludf.DUMMYFUNCTION("""COMPUTED_VALUE"""),0)</f>
        <v>0</v>
      </c>
      <c r="M275" s="21">
        <f ca="1">IFERROR(__xludf.DUMMYFUNCTION("""COMPUTED_VALUE"""),67)</f>
        <v>67</v>
      </c>
      <c r="N275" s="21">
        <f ca="1">IFERROR(__xludf.DUMMYFUNCTION("""COMPUTED_VALUE"""),0)</f>
        <v>0</v>
      </c>
      <c r="O275" s="22">
        <f ca="1">IFERROR(__xludf.DUMMYFUNCTION("""COMPUTED_VALUE"""),43)</f>
        <v>43</v>
      </c>
      <c r="P275" s="22">
        <f ca="1">IFERROR(__xludf.DUMMYFUNCTION("""COMPUTED_VALUE"""),0)</f>
        <v>0</v>
      </c>
      <c r="Q275" s="23">
        <f ca="1">IFERROR(__xludf.DUMMYFUNCTION("""COMPUTED_VALUE"""),493)</f>
        <v>493</v>
      </c>
      <c r="R275" s="23">
        <f ca="1">IFERROR(__xludf.DUMMYFUNCTION("""COMPUTED_VALUE"""),15)</f>
        <v>15</v>
      </c>
      <c r="S275" s="24" t="str">
        <f ca="1">IFERROR(__xludf.DUMMYFUNCTION("""COMPUTED_VALUE"""),"Hyper Cutter")</f>
        <v>Hyper Cutter</v>
      </c>
      <c r="T275" s="24" t="str">
        <f ca="1">IFERROR(__xludf.DUMMYFUNCTION("""COMPUTED_VALUE"""),"Iron Fist")</f>
        <v>Iron Fist</v>
      </c>
      <c r="U275" s="24" t="str">
        <f ca="1">IFERROR(__xludf.DUMMYFUNCTION("""COMPUTED_VALUE"""),"Anger Point")</f>
        <v>Anger Point</v>
      </c>
      <c r="V275" s="25" t="str">
        <f ca="1">IFERROR(__xludf.DUMMYFUNCTION("""COMPUTED_VALUE"""),"Ice Stone")</f>
        <v>Ice Stone</v>
      </c>
      <c r="W275" s="25"/>
      <c r="X275" s="25" t="str">
        <f ca="1">IFERROR(__xludf.DUMMYFUNCTION("""COMPUTED_VALUE"""),"Cheri Berry")</f>
        <v>Cheri Berry</v>
      </c>
      <c r="Y275" s="25" t="str">
        <f ca="1">IFERROR(__xludf.DUMMYFUNCTION("""COMPUTED_VALUE"""),"Crabrawler (evolve)")</f>
        <v>Crabrawler (evolve)</v>
      </c>
    </row>
    <row r="276" spans="1:25" x14ac:dyDescent="0.25">
      <c r="A276" s="15" t="str">
        <f ca="1">IFERROR(__xludf.DUMMYFUNCTION("""COMPUTED_VALUE"""),"Lileep")</f>
        <v>Lileep</v>
      </c>
      <c r="B276" s="16">
        <f ca="1">IFERROR(__xludf.DUMMYFUNCTION("""COMPUTED_VALUE"""),275)</f>
        <v>275</v>
      </c>
      <c r="C276" s="3" t="str">
        <f ca="1">IFERROR(__xludf.DUMMYFUNCTION("""COMPUTED_VALUE"""),"Rock")</f>
        <v>Rock</v>
      </c>
      <c r="D276" s="3" t="str">
        <f ca="1">IFERROR(__xludf.DUMMYFUNCTION("""COMPUTED_VALUE"""),"Grass")</f>
        <v>Grass</v>
      </c>
      <c r="E276" s="17">
        <f ca="1">IFERROR(__xludf.DUMMYFUNCTION("""COMPUTED_VALUE"""),71)</f>
        <v>71</v>
      </c>
      <c r="F276" s="17">
        <f ca="1">IFERROR(__xludf.DUMMYFUNCTION("""COMPUTED_VALUE"""),5)</f>
        <v>5</v>
      </c>
      <c r="G276" s="18">
        <f ca="1">IFERROR(__xludf.DUMMYFUNCTION("""COMPUTED_VALUE"""),41)</f>
        <v>41</v>
      </c>
      <c r="H276" s="18">
        <f ca="1">IFERROR(__xludf.DUMMYFUNCTION("""COMPUTED_VALUE"""),0)</f>
        <v>0</v>
      </c>
      <c r="I276" s="19">
        <f ca="1">IFERROR(__xludf.DUMMYFUNCTION("""COMPUTED_VALUE"""),77)</f>
        <v>77</v>
      </c>
      <c r="J276" s="19">
        <f ca="1">IFERROR(__xludf.DUMMYFUNCTION("""COMPUTED_VALUE"""),0)</f>
        <v>0</v>
      </c>
      <c r="K276" s="20">
        <f ca="1">IFERROR(__xludf.DUMMYFUNCTION("""COMPUTED_VALUE"""),61)</f>
        <v>61</v>
      </c>
      <c r="L276" s="20">
        <f ca="1">IFERROR(__xludf.DUMMYFUNCTION("""COMPUTED_VALUE"""),0)</f>
        <v>0</v>
      </c>
      <c r="M276" s="21">
        <f ca="1">IFERROR(__xludf.DUMMYFUNCTION("""COMPUTED_VALUE"""),87)</f>
        <v>87</v>
      </c>
      <c r="N276" s="21">
        <f ca="1">IFERROR(__xludf.DUMMYFUNCTION("""COMPUTED_VALUE"""),0)</f>
        <v>0</v>
      </c>
      <c r="O276" s="22">
        <f ca="1">IFERROR(__xludf.DUMMYFUNCTION("""COMPUTED_VALUE"""),23)</f>
        <v>23</v>
      </c>
      <c r="P276" s="22">
        <f ca="1">IFERROR(__xludf.DUMMYFUNCTION("""COMPUTED_VALUE"""),0)</f>
        <v>0</v>
      </c>
      <c r="Q276" s="23">
        <f ca="1">IFERROR(__xludf.DUMMYFUNCTION("""COMPUTED_VALUE"""),360)</f>
        <v>360</v>
      </c>
      <c r="R276" s="23">
        <f ca="1">IFERROR(__xludf.DUMMYFUNCTION("""COMPUTED_VALUE"""),5)</f>
        <v>5</v>
      </c>
      <c r="S276" s="24" t="str">
        <f ca="1">IFERROR(__xludf.DUMMYFUNCTION("""COMPUTED_VALUE"""),"Suction Cups")</f>
        <v>Suction Cups</v>
      </c>
      <c r="T276" s="25"/>
      <c r="U276" s="24" t="str">
        <f ca="1">IFERROR(__xludf.DUMMYFUNCTION("""COMPUTED_VALUE"""),"Storm Drain")</f>
        <v>Storm Drain</v>
      </c>
      <c r="V276" s="25"/>
      <c r="W276" s="25"/>
      <c r="X276" s="25" t="str">
        <f ca="1">IFERROR(__xludf.DUMMYFUNCTION("""COMPUTED_VALUE"""),"Big Root")</f>
        <v>Big Root</v>
      </c>
      <c r="Y276" s="25" t="str">
        <f ca="1">IFERROR(__xludf.DUMMYFUNCTION("""COMPUTED_VALUE"""),"Marmaro Island (wild)")</f>
        <v>Marmaro Island (wild)</v>
      </c>
    </row>
    <row r="277" spans="1:25" x14ac:dyDescent="0.25">
      <c r="A277" s="15" t="str">
        <f ca="1">IFERROR(__xludf.DUMMYFUNCTION("""COMPUTED_VALUE"""),"Cradily")</f>
        <v>Cradily</v>
      </c>
      <c r="B277" s="16">
        <f ca="1">IFERROR(__xludf.DUMMYFUNCTION("""COMPUTED_VALUE"""),276)</f>
        <v>276</v>
      </c>
      <c r="C277" s="3" t="str">
        <f ca="1">IFERROR(__xludf.DUMMYFUNCTION("""COMPUTED_VALUE"""),"Rock")</f>
        <v>Rock</v>
      </c>
      <c r="D277" s="3" t="str">
        <f ca="1">IFERROR(__xludf.DUMMYFUNCTION("""COMPUTED_VALUE"""),"Grass")</f>
        <v>Grass</v>
      </c>
      <c r="E277" s="17">
        <f ca="1">IFERROR(__xludf.DUMMYFUNCTION("""COMPUTED_VALUE"""),96)</f>
        <v>96</v>
      </c>
      <c r="F277" s="17">
        <f ca="1">IFERROR(__xludf.DUMMYFUNCTION("""COMPUTED_VALUE"""),10)</f>
        <v>10</v>
      </c>
      <c r="G277" s="18">
        <f ca="1">IFERROR(__xludf.DUMMYFUNCTION("""COMPUTED_VALUE"""),81)</f>
        <v>81</v>
      </c>
      <c r="H277" s="18">
        <f ca="1">IFERROR(__xludf.DUMMYFUNCTION("""COMPUTED_VALUE"""),0)</f>
        <v>0</v>
      </c>
      <c r="I277" s="19">
        <f ca="1">IFERROR(__xludf.DUMMYFUNCTION("""COMPUTED_VALUE"""),97)</f>
        <v>97</v>
      </c>
      <c r="J277" s="19">
        <f ca="1">IFERROR(__xludf.DUMMYFUNCTION("""COMPUTED_VALUE"""),0)</f>
        <v>0</v>
      </c>
      <c r="K277" s="20">
        <f ca="1">IFERROR(__xludf.DUMMYFUNCTION("""COMPUTED_VALUE"""),81)</f>
        <v>81</v>
      </c>
      <c r="L277" s="20">
        <f ca="1">IFERROR(__xludf.DUMMYFUNCTION("""COMPUTED_VALUE"""),0)</f>
        <v>0</v>
      </c>
      <c r="M277" s="21">
        <f ca="1">IFERROR(__xludf.DUMMYFUNCTION("""COMPUTED_VALUE"""),107)</f>
        <v>107</v>
      </c>
      <c r="N277" s="21">
        <f ca="1">IFERROR(__xludf.DUMMYFUNCTION("""COMPUTED_VALUE"""),0)</f>
        <v>0</v>
      </c>
      <c r="O277" s="22">
        <f ca="1">IFERROR(__xludf.DUMMYFUNCTION("""COMPUTED_VALUE"""),43)</f>
        <v>43</v>
      </c>
      <c r="P277" s="22">
        <f ca="1">IFERROR(__xludf.DUMMYFUNCTION("""COMPUTED_VALUE"""),0)</f>
        <v>0</v>
      </c>
      <c r="Q277" s="23">
        <f ca="1">IFERROR(__xludf.DUMMYFUNCTION("""COMPUTED_VALUE"""),505)</f>
        <v>505</v>
      </c>
      <c r="R277" s="23">
        <f ca="1">IFERROR(__xludf.DUMMYFUNCTION("""COMPUTED_VALUE"""),10)</f>
        <v>10</v>
      </c>
      <c r="S277" s="24" t="str">
        <f ca="1">IFERROR(__xludf.DUMMYFUNCTION("""COMPUTED_VALUE"""),"Suction Cups")</f>
        <v>Suction Cups</v>
      </c>
      <c r="T277" s="25"/>
      <c r="U277" s="24" t="str">
        <f ca="1">IFERROR(__xludf.DUMMYFUNCTION("""COMPUTED_VALUE"""),"Storm Drain")</f>
        <v>Storm Drain</v>
      </c>
      <c r="V277" s="25" t="str">
        <f ca="1">IFERROR(__xludf.DUMMYFUNCTION("""COMPUTED_VALUE"""),"Lv. 40")</f>
        <v>Lv. 40</v>
      </c>
      <c r="W277" s="25"/>
      <c r="X277" s="25" t="str">
        <f ca="1">IFERROR(__xludf.DUMMYFUNCTION("""COMPUTED_VALUE"""),"Big Root")</f>
        <v>Big Root</v>
      </c>
      <c r="Y277" s="25" t="str">
        <f ca="1">IFERROR(__xludf.DUMMYFUNCTION("""COMPUTED_VALUE"""),"Lileep (evolve)")</f>
        <v>Lileep (evolve)</v>
      </c>
    </row>
    <row r="278" spans="1:25" x14ac:dyDescent="0.25">
      <c r="A278" s="15" t="str">
        <f ca="1">IFERROR(__xludf.DUMMYFUNCTION("""COMPUTED_VALUE"""),"Anorith")</f>
        <v>Anorith</v>
      </c>
      <c r="B278" s="16">
        <f ca="1">IFERROR(__xludf.DUMMYFUNCTION("""COMPUTED_VALUE"""),277)</f>
        <v>277</v>
      </c>
      <c r="C278" s="3" t="str">
        <f ca="1">IFERROR(__xludf.DUMMYFUNCTION("""COMPUTED_VALUE"""),"Rock")</f>
        <v>Rock</v>
      </c>
      <c r="D278" s="3" t="str">
        <f ca="1">IFERROR(__xludf.DUMMYFUNCTION("""COMPUTED_VALUE"""),"Bug")</f>
        <v>Bug</v>
      </c>
      <c r="E278" s="17">
        <f ca="1">IFERROR(__xludf.DUMMYFUNCTION("""COMPUTED_VALUE"""),50)</f>
        <v>50</v>
      </c>
      <c r="F278" s="17">
        <f ca="1">IFERROR(__xludf.DUMMYFUNCTION("""COMPUTED_VALUE"""),5)</f>
        <v>5</v>
      </c>
      <c r="G278" s="18">
        <f ca="1">IFERROR(__xludf.DUMMYFUNCTION("""COMPUTED_VALUE"""),95)</f>
        <v>95</v>
      </c>
      <c r="H278" s="18">
        <f ca="1">IFERROR(__xludf.DUMMYFUNCTION("""COMPUTED_VALUE"""),0)</f>
        <v>0</v>
      </c>
      <c r="I278" s="19">
        <f ca="1">IFERROR(__xludf.DUMMYFUNCTION("""COMPUTED_VALUE"""),50)</f>
        <v>50</v>
      </c>
      <c r="J278" s="19">
        <f ca="1">IFERROR(__xludf.DUMMYFUNCTION("""COMPUTED_VALUE"""),0)</f>
        <v>0</v>
      </c>
      <c r="K278" s="20">
        <f ca="1">IFERROR(__xludf.DUMMYFUNCTION("""COMPUTED_VALUE"""),40)</f>
        <v>40</v>
      </c>
      <c r="L278" s="20">
        <f ca="1">IFERROR(__xludf.DUMMYFUNCTION("""COMPUTED_VALUE"""),0)</f>
        <v>0</v>
      </c>
      <c r="M278" s="21">
        <f ca="1">IFERROR(__xludf.DUMMYFUNCTION("""COMPUTED_VALUE"""),50)</f>
        <v>50</v>
      </c>
      <c r="N278" s="21">
        <f ca="1">IFERROR(__xludf.DUMMYFUNCTION("""COMPUTED_VALUE"""),0)</f>
        <v>0</v>
      </c>
      <c r="O278" s="22">
        <f ca="1">IFERROR(__xludf.DUMMYFUNCTION("""COMPUTED_VALUE"""),75)</f>
        <v>75</v>
      </c>
      <c r="P278" s="22">
        <f ca="1">IFERROR(__xludf.DUMMYFUNCTION("""COMPUTED_VALUE"""),0)</f>
        <v>0</v>
      </c>
      <c r="Q278" s="23">
        <f ca="1">IFERROR(__xludf.DUMMYFUNCTION("""COMPUTED_VALUE"""),360)</f>
        <v>360</v>
      </c>
      <c r="R278" s="23">
        <f ca="1">IFERROR(__xludf.DUMMYFUNCTION("""COMPUTED_VALUE"""),5)</f>
        <v>5</v>
      </c>
      <c r="S278" s="24" t="str">
        <f ca="1">IFERROR(__xludf.DUMMYFUNCTION("""COMPUTED_VALUE"""),"Battle Armor")</f>
        <v>Battle Armor</v>
      </c>
      <c r="T278" s="25"/>
      <c r="U278" s="24" t="str">
        <f ca="1">IFERROR(__xludf.DUMMYFUNCTION("""COMPUTED_VALUE"""),"Water Bubble")</f>
        <v>Water Bubble</v>
      </c>
      <c r="V278" s="25"/>
      <c r="W278" s="25"/>
      <c r="X278" s="25"/>
      <c r="Y278" s="25" t="str">
        <f ca="1">IFERROR(__xludf.DUMMYFUNCTION("""COMPUTED_VALUE"""),"Marmaro Island (wild)")</f>
        <v>Marmaro Island (wild)</v>
      </c>
    </row>
    <row r="279" spans="1:25" x14ac:dyDescent="0.25">
      <c r="A279" s="15" t="str">
        <f ca="1">IFERROR(__xludf.DUMMYFUNCTION("""COMPUTED_VALUE"""),"Armaldo")</f>
        <v>Armaldo</v>
      </c>
      <c r="B279" s="16">
        <f ca="1">IFERROR(__xludf.DUMMYFUNCTION("""COMPUTED_VALUE"""),278)</f>
        <v>278</v>
      </c>
      <c r="C279" s="3" t="str">
        <f ca="1">IFERROR(__xludf.DUMMYFUNCTION("""COMPUTED_VALUE"""),"Rock")</f>
        <v>Rock</v>
      </c>
      <c r="D279" s="3" t="str">
        <f ca="1">IFERROR(__xludf.DUMMYFUNCTION("""COMPUTED_VALUE"""),"Bug")</f>
        <v>Bug</v>
      </c>
      <c r="E279" s="17">
        <f ca="1">IFERROR(__xludf.DUMMYFUNCTION("""COMPUTED_VALUE"""),85)</f>
        <v>85</v>
      </c>
      <c r="F279" s="17">
        <f ca="1">IFERROR(__xludf.DUMMYFUNCTION("""COMPUTED_VALUE"""),10)</f>
        <v>10</v>
      </c>
      <c r="G279" s="18">
        <f ca="1">IFERROR(__xludf.DUMMYFUNCTION("""COMPUTED_VALUE"""),125)</f>
        <v>125</v>
      </c>
      <c r="H279" s="18">
        <f ca="1">IFERROR(__xludf.DUMMYFUNCTION("""COMPUTED_VALUE"""),0)</f>
        <v>0</v>
      </c>
      <c r="I279" s="19">
        <f ca="1">IFERROR(__xludf.DUMMYFUNCTION("""COMPUTED_VALUE"""),100)</f>
        <v>100</v>
      </c>
      <c r="J279" s="19">
        <f ca="1">IFERROR(__xludf.DUMMYFUNCTION("""COMPUTED_VALUE"""),0)</f>
        <v>0</v>
      </c>
      <c r="K279" s="20">
        <f ca="1">IFERROR(__xludf.DUMMYFUNCTION("""COMPUTED_VALUE"""),70)</f>
        <v>70</v>
      </c>
      <c r="L279" s="20">
        <f ca="1">IFERROR(__xludf.DUMMYFUNCTION("""COMPUTED_VALUE"""),0)</f>
        <v>0</v>
      </c>
      <c r="M279" s="21">
        <f ca="1">IFERROR(__xludf.DUMMYFUNCTION("""COMPUTED_VALUE"""),80)</f>
        <v>80</v>
      </c>
      <c r="N279" s="21">
        <f ca="1">IFERROR(__xludf.DUMMYFUNCTION("""COMPUTED_VALUE"""),0)</f>
        <v>0</v>
      </c>
      <c r="O279" s="22">
        <f ca="1">IFERROR(__xludf.DUMMYFUNCTION("""COMPUTED_VALUE"""),45)</f>
        <v>45</v>
      </c>
      <c r="P279" s="22">
        <f ca="1">IFERROR(__xludf.DUMMYFUNCTION("""COMPUTED_VALUE"""),0)</f>
        <v>0</v>
      </c>
      <c r="Q279" s="23">
        <f ca="1">IFERROR(__xludf.DUMMYFUNCTION("""COMPUTED_VALUE"""),505)</f>
        <v>505</v>
      </c>
      <c r="R279" s="23">
        <f ca="1">IFERROR(__xludf.DUMMYFUNCTION("""COMPUTED_VALUE"""),10)</f>
        <v>10</v>
      </c>
      <c r="S279" s="24" t="str">
        <f ca="1">IFERROR(__xludf.DUMMYFUNCTION("""COMPUTED_VALUE"""),"Battle Armor")</f>
        <v>Battle Armor</v>
      </c>
      <c r="T279" s="25"/>
      <c r="U279" s="24" t="str">
        <f ca="1">IFERROR(__xludf.DUMMYFUNCTION("""COMPUTED_VALUE"""),"Water Bubble")</f>
        <v>Water Bubble</v>
      </c>
      <c r="V279" s="25" t="str">
        <f ca="1">IFERROR(__xludf.DUMMYFUNCTION("""COMPUTED_VALUE"""),"Lv. 40")</f>
        <v>Lv. 40</v>
      </c>
      <c r="W279" s="25"/>
      <c r="X279" s="25"/>
      <c r="Y279" s="25" t="str">
        <f ca="1">IFERROR(__xludf.DUMMYFUNCTION("""COMPUTED_VALUE"""),"Anorith (evolve)")</f>
        <v>Anorith (evolve)</v>
      </c>
    </row>
    <row r="280" spans="1:25" x14ac:dyDescent="0.25">
      <c r="A280" s="15" t="str">
        <f ca="1">IFERROR(__xludf.DUMMYFUNCTION("""COMPUTED_VALUE"""),"Dedenne")</f>
        <v>Dedenne</v>
      </c>
      <c r="B280" s="16">
        <f ca="1">IFERROR(__xludf.DUMMYFUNCTION("""COMPUTED_VALUE"""),279)</f>
        <v>279</v>
      </c>
      <c r="C280" s="3" t="str">
        <f ca="1">IFERROR(__xludf.DUMMYFUNCTION("""COMPUTED_VALUE"""),"Electric")</f>
        <v>Electric</v>
      </c>
      <c r="D280" s="3" t="str">
        <f ca="1">IFERROR(__xludf.DUMMYFUNCTION("""COMPUTED_VALUE"""),"Fairy")</f>
        <v>Fairy</v>
      </c>
      <c r="E280" s="17">
        <f ca="1">IFERROR(__xludf.DUMMYFUNCTION("""COMPUTED_VALUE"""),72)</f>
        <v>72</v>
      </c>
      <c r="F280" s="17">
        <f ca="1">IFERROR(__xludf.DUMMYFUNCTION("""COMPUTED_VALUE"""),5)</f>
        <v>5</v>
      </c>
      <c r="G280" s="18">
        <f ca="1">IFERROR(__xludf.DUMMYFUNCTION("""COMPUTED_VALUE"""),58)</f>
        <v>58</v>
      </c>
      <c r="H280" s="18">
        <f ca="1">IFERROR(__xludf.DUMMYFUNCTION("""COMPUTED_VALUE"""),0)</f>
        <v>0</v>
      </c>
      <c r="I280" s="19">
        <f ca="1">IFERROR(__xludf.DUMMYFUNCTION("""COMPUTED_VALUE"""),62)</f>
        <v>62</v>
      </c>
      <c r="J280" s="19">
        <f ca="1">IFERROR(__xludf.DUMMYFUNCTION("""COMPUTED_VALUE"""),5)</f>
        <v>5</v>
      </c>
      <c r="K280" s="20">
        <f ca="1">IFERROR(__xludf.DUMMYFUNCTION("""COMPUTED_VALUE"""),91)</f>
        <v>91</v>
      </c>
      <c r="L280" s="20">
        <f ca="1">IFERROR(__xludf.DUMMYFUNCTION("""COMPUTED_VALUE"""),10)</f>
        <v>10</v>
      </c>
      <c r="M280" s="21">
        <f ca="1">IFERROR(__xludf.DUMMYFUNCTION("""COMPUTED_VALUE"""),87)</f>
        <v>87</v>
      </c>
      <c r="N280" s="21">
        <f ca="1">IFERROR(__xludf.DUMMYFUNCTION("""COMPUTED_VALUE"""),20)</f>
        <v>20</v>
      </c>
      <c r="O280" s="22">
        <f ca="1">IFERROR(__xludf.DUMMYFUNCTION("""COMPUTED_VALUE"""),101)</f>
        <v>101</v>
      </c>
      <c r="P280" s="22">
        <f ca="1">IFERROR(__xludf.DUMMYFUNCTION("""COMPUTED_VALUE"""),0)</f>
        <v>0</v>
      </c>
      <c r="Q280" s="23">
        <f ca="1">IFERROR(__xludf.DUMMYFUNCTION("""COMPUTED_VALUE"""),471)</f>
        <v>471</v>
      </c>
      <c r="R280" s="23">
        <f ca="1">IFERROR(__xludf.DUMMYFUNCTION("""COMPUTED_VALUE"""),40)</f>
        <v>40</v>
      </c>
      <c r="S280" s="24" t="str">
        <f ca="1">IFERROR(__xludf.DUMMYFUNCTION("""COMPUTED_VALUE"""),"Cheek Pouch")</f>
        <v>Cheek Pouch</v>
      </c>
      <c r="T280" s="24" t="str">
        <f ca="1">IFERROR(__xludf.DUMMYFUNCTION("""COMPUTED_VALUE"""),"Pixilate")</f>
        <v>Pixilate</v>
      </c>
      <c r="U280" s="24" t="str">
        <f ca="1">IFERROR(__xludf.DUMMYFUNCTION("""COMPUTED_VALUE"""),"Transistor")</f>
        <v>Transistor</v>
      </c>
      <c r="V280" s="25"/>
      <c r="W280" s="25"/>
      <c r="X280" s="25"/>
      <c r="Y280" s="25" t="str">
        <f ca="1">IFERROR(__xludf.DUMMYFUNCTION("""COMPUTED_VALUE"""),"Acrisia Mountains Peak, Asfal Hills, Marmaro Island, Kaptara Island (wild)")</f>
        <v>Acrisia Mountains Peak, Asfal Hills, Marmaro Island, Kaptara Island (wild)</v>
      </c>
    </row>
    <row r="281" spans="1:25" x14ac:dyDescent="0.25">
      <c r="A281" s="15" t="str">
        <f ca="1">IFERROR(__xludf.DUMMYFUNCTION("""COMPUTED_VALUE"""),"Chatot")</f>
        <v>Chatot</v>
      </c>
      <c r="B281" s="16">
        <f ca="1">IFERROR(__xludf.DUMMYFUNCTION("""COMPUTED_VALUE"""),280)</f>
        <v>280</v>
      </c>
      <c r="C281" s="3" t="str">
        <f ca="1">IFERROR(__xludf.DUMMYFUNCTION("""COMPUTED_VALUE"""),"Normal")</f>
        <v>Normal</v>
      </c>
      <c r="D281" s="3" t="str">
        <f ca="1">IFERROR(__xludf.DUMMYFUNCTION("""COMPUTED_VALUE"""),"Flying")</f>
        <v>Flying</v>
      </c>
      <c r="E281" s="17">
        <f ca="1">IFERROR(__xludf.DUMMYFUNCTION("""COMPUTED_VALUE"""),76)</f>
        <v>76</v>
      </c>
      <c r="F281" s="17">
        <f ca="1">IFERROR(__xludf.DUMMYFUNCTION("""COMPUTED_VALUE"""),0)</f>
        <v>0</v>
      </c>
      <c r="G281" s="18">
        <f ca="1">IFERROR(__xludf.DUMMYFUNCTION("""COMPUTED_VALUE"""),65)</f>
        <v>65</v>
      </c>
      <c r="H281" s="18">
        <f ca="1">IFERROR(__xludf.DUMMYFUNCTION("""COMPUTED_VALUE"""),0)</f>
        <v>0</v>
      </c>
      <c r="I281" s="19">
        <f ca="1">IFERROR(__xludf.DUMMYFUNCTION("""COMPUTED_VALUE"""),45)</f>
        <v>45</v>
      </c>
      <c r="J281" s="19">
        <f ca="1">IFERROR(__xludf.DUMMYFUNCTION("""COMPUTED_VALUE"""),0)</f>
        <v>0</v>
      </c>
      <c r="K281" s="20">
        <f ca="1">IFERROR(__xludf.DUMMYFUNCTION("""COMPUTED_VALUE"""),102)</f>
        <v>102</v>
      </c>
      <c r="L281" s="20">
        <f ca="1">IFERROR(__xludf.DUMMYFUNCTION("""COMPUTED_VALUE"""),10)</f>
        <v>10</v>
      </c>
      <c r="M281" s="21">
        <f ca="1">IFERROR(__xludf.DUMMYFUNCTION("""COMPUTED_VALUE"""),62)</f>
        <v>62</v>
      </c>
      <c r="N281" s="21">
        <f ca="1">IFERROR(__xludf.DUMMYFUNCTION("""COMPUTED_VALUE"""),20)</f>
        <v>20</v>
      </c>
      <c r="O281" s="22">
        <f ca="1">IFERROR(__xludf.DUMMYFUNCTION("""COMPUTED_VALUE"""),101)</f>
        <v>101</v>
      </c>
      <c r="P281" s="22">
        <f ca="1">IFERROR(__xludf.DUMMYFUNCTION("""COMPUTED_VALUE"""),10)</f>
        <v>10</v>
      </c>
      <c r="Q281" s="23">
        <f ca="1">IFERROR(__xludf.DUMMYFUNCTION("""COMPUTED_VALUE"""),451)</f>
        <v>451</v>
      </c>
      <c r="R281" s="23">
        <f ca="1">IFERROR(__xludf.DUMMYFUNCTION("""COMPUTED_VALUE"""),40)</f>
        <v>40</v>
      </c>
      <c r="S281" s="24" t="str">
        <f ca="1">IFERROR(__xludf.DUMMYFUNCTION("""COMPUTED_VALUE"""),"Keen Eye")</f>
        <v>Keen Eye</v>
      </c>
      <c r="T281" s="24" t="str">
        <f ca="1">IFERROR(__xludf.DUMMYFUNCTION("""COMPUTED_VALUE"""),"Big Pecks")</f>
        <v>Big Pecks</v>
      </c>
      <c r="U281" s="24" t="str">
        <f ca="1">IFERROR(__xludf.DUMMYFUNCTION("""COMPUTED_VALUE"""),"Vocalist (Punk Rock)")</f>
        <v>Vocalist (Punk Rock)</v>
      </c>
      <c r="V281" s="25"/>
      <c r="W281" s="25"/>
      <c r="X281" s="25" t="str">
        <f ca="1">IFERROR(__xludf.DUMMYFUNCTION("""COMPUTED_VALUE"""),"Metronome")</f>
        <v>Metronome</v>
      </c>
      <c r="Y281" s="25" t="str">
        <f ca="1">IFERROR(__xludf.DUMMYFUNCTION("""COMPUTED_VALUE"""),"Asfal Hills, Sea of Asteri (wild)")</f>
        <v>Asfal Hills, Sea of Asteri (wild)</v>
      </c>
    </row>
    <row r="282" spans="1:25" x14ac:dyDescent="0.25">
      <c r="A282" s="15" t="str">
        <f ca="1">IFERROR(__xludf.DUMMYFUNCTION("""COMPUTED_VALUE"""),"Meditite")</f>
        <v>Meditite</v>
      </c>
      <c r="B282" s="16">
        <f ca="1">IFERROR(__xludf.DUMMYFUNCTION("""COMPUTED_VALUE"""),281)</f>
        <v>281</v>
      </c>
      <c r="C282" s="3" t="str">
        <f ca="1">IFERROR(__xludf.DUMMYFUNCTION("""COMPUTED_VALUE"""),"Fighting")</f>
        <v>Fighting</v>
      </c>
      <c r="D282" s="3" t="str">
        <f ca="1">IFERROR(__xludf.DUMMYFUNCTION("""COMPUTED_VALUE"""),"Psychic")</f>
        <v>Psychic</v>
      </c>
      <c r="E282" s="17">
        <f ca="1">IFERROR(__xludf.DUMMYFUNCTION("""COMPUTED_VALUE"""),40)</f>
        <v>40</v>
      </c>
      <c r="F282" s="17">
        <f ca="1">IFERROR(__xludf.DUMMYFUNCTION("""COMPUTED_VALUE"""),10)</f>
        <v>10</v>
      </c>
      <c r="G282" s="18">
        <f ca="1">IFERROR(__xludf.DUMMYFUNCTION("""COMPUTED_VALUE"""),40)</f>
        <v>40</v>
      </c>
      <c r="H282" s="18">
        <f ca="1">IFERROR(__xludf.DUMMYFUNCTION("""COMPUTED_VALUE"""),0)</f>
        <v>0</v>
      </c>
      <c r="I282" s="19">
        <f ca="1">IFERROR(__xludf.DUMMYFUNCTION("""COMPUTED_VALUE"""),55)</f>
        <v>55</v>
      </c>
      <c r="J282" s="19">
        <f ca="1">IFERROR(__xludf.DUMMYFUNCTION("""COMPUTED_VALUE"""),0)</f>
        <v>0</v>
      </c>
      <c r="K282" s="20">
        <f ca="1">IFERROR(__xludf.DUMMYFUNCTION("""COMPUTED_VALUE"""),50)</f>
        <v>50</v>
      </c>
      <c r="L282" s="20">
        <f ca="1">IFERROR(__xludf.DUMMYFUNCTION("""COMPUTED_VALUE"""),10)</f>
        <v>10</v>
      </c>
      <c r="M282" s="21">
        <f ca="1">IFERROR(__xludf.DUMMYFUNCTION("""COMPUTED_VALUE"""),65)</f>
        <v>65</v>
      </c>
      <c r="N282" s="21">
        <f ca="1">IFERROR(__xludf.DUMMYFUNCTION("""COMPUTED_VALUE"""),10)</f>
        <v>10</v>
      </c>
      <c r="O282" s="22">
        <f ca="1">IFERROR(__xludf.DUMMYFUNCTION("""COMPUTED_VALUE"""),60)</f>
        <v>60</v>
      </c>
      <c r="P282" s="22">
        <f ca="1">IFERROR(__xludf.DUMMYFUNCTION("""COMPUTED_VALUE"""),0)</f>
        <v>0</v>
      </c>
      <c r="Q282" s="23">
        <f ca="1">IFERROR(__xludf.DUMMYFUNCTION("""COMPUTED_VALUE"""),310)</f>
        <v>310</v>
      </c>
      <c r="R282" s="23">
        <f ca="1">IFERROR(__xludf.DUMMYFUNCTION("""COMPUTED_VALUE"""),30)</f>
        <v>30</v>
      </c>
      <c r="S282" s="24" t="str">
        <f ca="1">IFERROR(__xludf.DUMMYFUNCTION("""COMPUTED_VALUE"""),"Telepathy")</f>
        <v>Telepathy</v>
      </c>
      <c r="T282" s="25"/>
      <c r="U282" s="24" t="str">
        <f ca="1">IFERROR(__xludf.DUMMYFUNCTION("""COMPUTED_VALUE"""),"Pure Power")</f>
        <v>Pure Power</v>
      </c>
      <c r="V282" s="25"/>
      <c r="W282" s="25"/>
      <c r="X282" s="25"/>
      <c r="Y282" s="25" t="str">
        <f ca="1">IFERROR(__xludf.DUMMYFUNCTION("""COMPUTED_VALUE"""),"Riverwalk Trail N, Marmaro Island, Myrrini Island (wild)")</f>
        <v>Riverwalk Trail N, Marmaro Island, Myrrini Island (wild)</v>
      </c>
    </row>
    <row r="283" spans="1:25" x14ac:dyDescent="0.25">
      <c r="A283" s="15" t="str">
        <f ca="1">IFERROR(__xludf.DUMMYFUNCTION("""COMPUTED_VALUE"""),"Medicham")</f>
        <v>Medicham</v>
      </c>
      <c r="B283" s="16">
        <f ca="1">IFERROR(__xludf.DUMMYFUNCTION("""COMPUTED_VALUE"""),282)</f>
        <v>282</v>
      </c>
      <c r="C283" s="3" t="str">
        <f ca="1">IFERROR(__xludf.DUMMYFUNCTION("""COMPUTED_VALUE"""),"Fighting")</f>
        <v>Fighting</v>
      </c>
      <c r="D283" s="3" t="str">
        <f ca="1">IFERROR(__xludf.DUMMYFUNCTION("""COMPUTED_VALUE"""),"Psychic")</f>
        <v>Psychic</v>
      </c>
      <c r="E283" s="17">
        <f ca="1">IFERROR(__xludf.DUMMYFUNCTION("""COMPUTED_VALUE"""),80)</f>
        <v>80</v>
      </c>
      <c r="F283" s="17">
        <f ca="1">IFERROR(__xludf.DUMMYFUNCTION("""COMPUTED_VALUE"""),20)</f>
        <v>20</v>
      </c>
      <c r="G283" s="18">
        <f ca="1">IFERROR(__xludf.DUMMYFUNCTION("""COMPUTED_VALUE"""),63)</f>
        <v>63</v>
      </c>
      <c r="H283" s="18">
        <f ca="1">IFERROR(__xludf.DUMMYFUNCTION("""COMPUTED_VALUE"""),3)</f>
        <v>3</v>
      </c>
      <c r="I283" s="19">
        <f ca="1">IFERROR(__xludf.DUMMYFUNCTION("""COMPUTED_VALUE"""),75)</f>
        <v>75</v>
      </c>
      <c r="J283" s="19">
        <f ca="1">IFERROR(__xludf.DUMMYFUNCTION("""COMPUTED_VALUE"""),0)</f>
        <v>0</v>
      </c>
      <c r="K283" s="20">
        <f ca="1">IFERROR(__xludf.DUMMYFUNCTION("""COMPUTED_VALUE"""),72)</f>
        <v>72</v>
      </c>
      <c r="L283" s="20">
        <f ca="1">IFERROR(__xludf.DUMMYFUNCTION("""COMPUTED_VALUE"""),12)</f>
        <v>12</v>
      </c>
      <c r="M283" s="21">
        <f ca="1">IFERROR(__xludf.DUMMYFUNCTION("""COMPUTED_VALUE"""),78)</f>
        <v>78</v>
      </c>
      <c r="N283" s="21">
        <f ca="1">IFERROR(__xludf.DUMMYFUNCTION("""COMPUTED_VALUE"""),3)</f>
        <v>3</v>
      </c>
      <c r="O283" s="22">
        <f ca="1">IFERROR(__xludf.DUMMYFUNCTION("""COMPUTED_VALUE"""),82)</f>
        <v>82</v>
      </c>
      <c r="P283" s="22">
        <f ca="1">IFERROR(__xludf.DUMMYFUNCTION("""COMPUTED_VALUE"""),2)</f>
        <v>2</v>
      </c>
      <c r="Q283" s="23">
        <f ca="1">IFERROR(__xludf.DUMMYFUNCTION("""COMPUTED_VALUE"""),450)</f>
        <v>450</v>
      </c>
      <c r="R283" s="23">
        <f ca="1">IFERROR(__xludf.DUMMYFUNCTION("""COMPUTED_VALUE"""),40)</f>
        <v>40</v>
      </c>
      <c r="S283" s="24" t="str">
        <f ca="1">IFERROR(__xludf.DUMMYFUNCTION("""COMPUTED_VALUE"""),"Telepathy")</f>
        <v>Telepathy</v>
      </c>
      <c r="T283" s="25"/>
      <c r="U283" s="24" t="str">
        <f ca="1">IFERROR(__xludf.DUMMYFUNCTION("""COMPUTED_VALUE"""),"Pure Power")</f>
        <v>Pure Power</v>
      </c>
      <c r="V283" s="25" t="str">
        <f ca="1">IFERROR(__xludf.DUMMYFUNCTION("""COMPUTED_VALUE"""),"Lv. 33")</f>
        <v>Lv. 33</v>
      </c>
      <c r="W283" s="25"/>
      <c r="X283" s="25"/>
      <c r="Y283" s="25" t="str">
        <f ca="1">IFERROR(__xludf.DUMMYFUNCTION("""COMPUTED_VALUE"""),"Meditite (evolve)")</f>
        <v>Meditite (evolve)</v>
      </c>
    </row>
    <row r="284" spans="1:25" x14ac:dyDescent="0.25">
      <c r="A284" s="15" t="str">
        <f ca="1">IFERROR(__xludf.DUMMYFUNCTION("""COMPUTED_VALUE"""),"Drowzee")</f>
        <v>Drowzee</v>
      </c>
      <c r="B284" s="16">
        <f ca="1">IFERROR(__xludf.DUMMYFUNCTION("""COMPUTED_VALUE"""),283)</f>
        <v>283</v>
      </c>
      <c r="C284" s="3" t="str">
        <f ca="1">IFERROR(__xludf.DUMMYFUNCTION("""COMPUTED_VALUE"""),"Psychic")</f>
        <v>Psychic</v>
      </c>
      <c r="D284" s="3"/>
      <c r="E284" s="17">
        <f ca="1">IFERROR(__xludf.DUMMYFUNCTION("""COMPUTED_VALUE"""),60)</f>
        <v>60</v>
      </c>
      <c r="F284" s="17">
        <f ca="1">IFERROR(__xludf.DUMMYFUNCTION("""COMPUTED_VALUE"""),0)</f>
        <v>0</v>
      </c>
      <c r="G284" s="18">
        <f ca="1">IFERROR(__xludf.DUMMYFUNCTION("""COMPUTED_VALUE"""),48)</f>
        <v>48</v>
      </c>
      <c r="H284" s="18">
        <f ca="1">IFERROR(__xludf.DUMMYFUNCTION("""COMPUTED_VALUE"""),0)</f>
        <v>0</v>
      </c>
      <c r="I284" s="19">
        <f ca="1">IFERROR(__xludf.DUMMYFUNCTION("""COMPUTED_VALUE"""),45)</f>
        <v>45</v>
      </c>
      <c r="J284" s="19">
        <f ca="1">IFERROR(__xludf.DUMMYFUNCTION("""COMPUTED_VALUE"""),0)</f>
        <v>0</v>
      </c>
      <c r="K284" s="20">
        <f ca="1">IFERROR(__xludf.DUMMYFUNCTION("""COMPUTED_VALUE"""),43)</f>
        <v>43</v>
      </c>
      <c r="L284" s="20">
        <f ca="1">IFERROR(__xludf.DUMMYFUNCTION("""COMPUTED_VALUE"""),0)</f>
        <v>0</v>
      </c>
      <c r="M284" s="21">
        <f ca="1">IFERROR(__xludf.DUMMYFUNCTION("""COMPUTED_VALUE"""),90)</f>
        <v>90</v>
      </c>
      <c r="N284" s="21">
        <f ca="1">IFERROR(__xludf.DUMMYFUNCTION("""COMPUTED_VALUE"""),0)</f>
        <v>0</v>
      </c>
      <c r="O284" s="22">
        <f ca="1">IFERROR(__xludf.DUMMYFUNCTION("""COMPUTED_VALUE"""),42)</f>
        <v>42</v>
      </c>
      <c r="P284" s="22">
        <f ca="1">IFERROR(__xludf.DUMMYFUNCTION("""COMPUTED_VALUE"""),0)</f>
        <v>0</v>
      </c>
      <c r="Q284" s="23">
        <f ca="1">IFERROR(__xludf.DUMMYFUNCTION("""COMPUTED_VALUE"""),328)</f>
        <v>328</v>
      </c>
      <c r="R284" s="23">
        <f ca="1">IFERROR(__xludf.DUMMYFUNCTION("""COMPUTED_VALUE"""),0)</f>
        <v>0</v>
      </c>
      <c r="S284" s="24" t="str">
        <f ca="1">IFERROR(__xludf.DUMMYFUNCTION("""COMPUTED_VALUE"""),"Insomnia")</f>
        <v>Insomnia</v>
      </c>
      <c r="T284" s="24" t="str">
        <f ca="1">IFERROR(__xludf.DUMMYFUNCTION("""COMPUTED_VALUE"""),"Forewarn")</f>
        <v>Forewarn</v>
      </c>
      <c r="U284" s="24" t="str">
        <f ca="1">IFERROR(__xludf.DUMMYFUNCTION("""COMPUTED_VALUE"""),"Poison Puppeteer")</f>
        <v>Poison Puppeteer</v>
      </c>
      <c r="V284" s="25"/>
      <c r="W284" s="25"/>
      <c r="X284" s="25"/>
      <c r="Y284" s="25" t="str">
        <f ca="1">IFERROR(__xludf.DUMMYFUNCTION("""COMPUTED_VALUE"""),"Pythios Town, Myrrini Island (wild)")</f>
        <v>Pythios Town, Myrrini Island (wild)</v>
      </c>
    </row>
    <row r="285" spans="1:25" x14ac:dyDescent="0.25">
      <c r="A285" s="15" t="str">
        <f ca="1">IFERROR(__xludf.DUMMYFUNCTION("""COMPUTED_VALUE"""),"Hypno")</f>
        <v>Hypno</v>
      </c>
      <c r="B285" s="16">
        <f ca="1">IFERROR(__xludf.DUMMYFUNCTION("""COMPUTED_VALUE"""),284)</f>
        <v>284</v>
      </c>
      <c r="C285" s="3" t="str">
        <f ca="1">IFERROR(__xludf.DUMMYFUNCTION("""COMPUTED_VALUE"""),"Psychic")</f>
        <v>Psychic</v>
      </c>
      <c r="D285" s="3" t="str">
        <f ca="1">IFERROR(__xludf.DUMMYFUNCTION("""COMPUTED_VALUE"""),"Dark")</f>
        <v>Dark</v>
      </c>
      <c r="E285" s="17">
        <f ca="1">IFERROR(__xludf.DUMMYFUNCTION("""COMPUTED_VALUE"""),90)</f>
        <v>90</v>
      </c>
      <c r="F285" s="17">
        <f ca="1">IFERROR(__xludf.DUMMYFUNCTION("""COMPUTED_VALUE"""),5)</f>
        <v>5</v>
      </c>
      <c r="G285" s="18">
        <f ca="1">IFERROR(__xludf.DUMMYFUNCTION("""COMPUTED_VALUE"""),73)</f>
        <v>73</v>
      </c>
      <c r="H285" s="18">
        <f ca="1">IFERROR(__xludf.DUMMYFUNCTION("""COMPUTED_VALUE"""),0)</f>
        <v>0</v>
      </c>
      <c r="I285" s="19">
        <f ca="1">IFERROR(__xludf.DUMMYFUNCTION("""COMPUTED_VALUE"""),70)</f>
        <v>70</v>
      </c>
      <c r="J285" s="19">
        <f ca="1">IFERROR(__xludf.DUMMYFUNCTION("""COMPUTED_VALUE"""),0)</f>
        <v>0</v>
      </c>
      <c r="K285" s="20">
        <f ca="1">IFERROR(__xludf.DUMMYFUNCTION("""COMPUTED_VALUE"""),73)</f>
        <v>73</v>
      </c>
      <c r="L285" s="20">
        <f ca="1">IFERROR(__xludf.DUMMYFUNCTION("""COMPUTED_VALUE"""),0)</f>
        <v>0</v>
      </c>
      <c r="M285" s="21">
        <f ca="1">IFERROR(__xludf.DUMMYFUNCTION("""COMPUTED_VALUE"""),115)</f>
        <v>115</v>
      </c>
      <c r="N285" s="21">
        <f ca="1">IFERROR(__xludf.DUMMYFUNCTION("""COMPUTED_VALUE"""),0)</f>
        <v>0</v>
      </c>
      <c r="O285" s="22">
        <f ca="1">IFERROR(__xludf.DUMMYFUNCTION("""COMPUTED_VALUE"""),67)</f>
        <v>67</v>
      </c>
      <c r="P285" s="22">
        <f ca="1">IFERROR(__xludf.DUMMYFUNCTION("""COMPUTED_VALUE"""),0)</f>
        <v>0</v>
      </c>
      <c r="Q285" s="23">
        <f ca="1">IFERROR(__xludf.DUMMYFUNCTION("""COMPUTED_VALUE"""),488)</f>
        <v>488</v>
      </c>
      <c r="R285" s="23">
        <f ca="1">IFERROR(__xludf.DUMMYFUNCTION("""COMPUTED_VALUE"""),5)</f>
        <v>5</v>
      </c>
      <c r="S285" s="24" t="str">
        <f ca="1">IFERROR(__xludf.DUMMYFUNCTION("""COMPUTED_VALUE"""),"Insomnia")</f>
        <v>Insomnia</v>
      </c>
      <c r="T285" s="24" t="str">
        <f ca="1">IFERROR(__xludf.DUMMYFUNCTION("""COMPUTED_VALUE"""),"Forewarn")</f>
        <v>Forewarn</v>
      </c>
      <c r="U285" s="24" t="str">
        <f ca="1">IFERROR(__xludf.DUMMYFUNCTION("""COMPUTED_VALUE"""),"Poison Puppeteer")</f>
        <v>Poison Puppeteer</v>
      </c>
      <c r="V285" s="25" t="str">
        <f ca="1">IFERROR(__xludf.DUMMYFUNCTION("""COMPUTED_VALUE"""),"Lv. 26")</f>
        <v>Lv. 26</v>
      </c>
      <c r="W285" s="25"/>
      <c r="X285" s="25"/>
      <c r="Y285" s="25" t="str">
        <f ca="1">IFERROR(__xludf.DUMMYFUNCTION("""COMPUTED_VALUE"""),"Drowzee (evolve)")</f>
        <v>Drowzee (evolve)</v>
      </c>
    </row>
    <row r="286" spans="1:25" x14ac:dyDescent="0.25">
      <c r="A286" s="15" t="str">
        <f ca="1">IFERROR(__xludf.DUMMYFUNCTION("""COMPUTED_VALUE"""),"Ekans")</f>
        <v>Ekans</v>
      </c>
      <c r="B286" s="16">
        <f ca="1">IFERROR(__xludf.DUMMYFUNCTION("""COMPUTED_VALUE"""),285)</f>
        <v>285</v>
      </c>
      <c r="C286" s="3" t="str">
        <f ca="1">IFERROR(__xludf.DUMMYFUNCTION("""COMPUTED_VALUE"""),"Poison")</f>
        <v>Poison</v>
      </c>
      <c r="D286" s="3" t="str">
        <f ca="1">IFERROR(__xludf.DUMMYFUNCTION("""COMPUTED_VALUE"""),"Dark")</f>
        <v>Dark</v>
      </c>
      <c r="E286" s="17">
        <f ca="1">IFERROR(__xludf.DUMMYFUNCTION("""COMPUTED_VALUE"""),35)</f>
        <v>35</v>
      </c>
      <c r="F286" s="17">
        <f ca="1">IFERROR(__xludf.DUMMYFUNCTION("""COMPUTED_VALUE"""),0)</f>
        <v>0</v>
      </c>
      <c r="G286" s="18">
        <f ca="1">IFERROR(__xludf.DUMMYFUNCTION("""COMPUTED_VALUE"""),60)</f>
        <v>60</v>
      </c>
      <c r="H286" s="18">
        <f ca="1">IFERROR(__xludf.DUMMYFUNCTION("""COMPUTED_VALUE"""),0)</f>
        <v>0</v>
      </c>
      <c r="I286" s="19">
        <f ca="1">IFERROR(__xludf.DUMMYFUNCTION("""COMPUTED_VALUE"""),44)</f>
        <v>44</v>
      </c>
      <c r="J286" s="19">
        <f ca="1">IFERROR(__xludf.DUMMYFUNCTION("""COMPUTED_VALUE"""),0)</f>
        <v>0</v>
      </c>
      <c r="K286" s="20">
        <f ca="1">IFERROR(__xludf.DUMMYFUNCTION("""COMPUTED_VALUE"""),40)</f>
        <v>40</v>
      </c>
      <c r="L286" s="20">
        <f ca="1">IFERROR(__xludf.DUMMYFUNCTION("""COMPUTED_VALUE"""),0)</f>
        <v>0</v>
      </c>
      <c r="M286" s="21">
        <f ca="1">IFERROR(__xludf.DUMMYFUNCTION("""COMPUTED_VALUE"""),54)</f>
        <v>54</v>
      </c>
      <c r="N286" s="21">
        <f ca="1">IFERROR(__xludf.DUMMYFUNCTION("""COMPUTED_VALUE"""),0)</f>
        <v>0</v>
      </c>
      <c r="O286" s="22">
        <f ca="1">IFERROR(__xludf.DUMMYFUNCTION("""COMPUTED_VALUE"""),55)</f>
        <v>55</v>
      </c>
      <c r="P286" s="22">
        <f ca="1">IFERROR(__xludf.DUMMYFUNCTION("""COMPUTED_VALUE"""),0)</f>
        <v>0</v>
      </c>
      <c r="Q286" s="23">
        <f ca="1">IFERROR(__xludf.DUMMYFUNCTION("""COMPUTED_VALUE"""),288)</f>
        <v>288</v>
      </c>
      <c r="R286" s="23">
        <f ca="1">IFERROR(__xludf.DUMMYFUNCTION("""COMPUTED_VALUE"""),0)</f>
        <v>0</v>
      </c>
      <c r="S286" s="24" t="str">
        <f ca="1">IFERROR(__xludf.DUMMYFUNCTION("""COMPUTED_VALUE"""),"Intimidate")</f>
        <v>Intimidate</v>
      </c>
      <c r="T286" s="24" t="str">
        <f ca="1">IFERROR(__xludf.DUMMYFUNCTION("""COMPUTED_VALUE"""),"Shed Skin")</f>
        <v>Shed Skin</v>
      </c>
      <c r="U286" s="24" t="str">
        <f ca="1">IFERROR(__xludf.DUMMYFUNCTION("""COMPUTED_VALUE"""),"Strong Jaw")</f>
        <v>Strong Jaw</v>
      </c>
      <c r="V286" s="25"/>
      <c r="W286" s="25"/>
      <c r="X286" s="25"/>
      <c r="Y286" s="25" t="str">
        <f ca="1">IFERROR(__xludf.DUMMYFUNCTION("""COMPUTED_VALUE"""),"Riverwalk Trail S, Pythios Cemetery, Sea of Asteri (wild)")</f>
        <v>Riverwalk Trail S, Pythios Cemetery, Sea of Asteri (wild)</v>
      </c>
    </row>
    <row r="287" spans="1:25" x14ac:dyDescent="0.25">
      <c r="A287" s="15" t="str">
        <f ca="1">IFERROR(__xludf.DUMMYFUNCTION("""COMPUTED_VALUE"""),"Arbok")</f>
        <v>Arbok</v>
      </c>
      <c r="B287" s="16">
        <f ca="1">IFERROR(__xludf.DUMMYFUNCTION("""COMPUTED_VALUE"""),286)</f>
        <v>286</v>
      </c>
      <c r="C287" s="3" t="str">
        <f ca="1">IFERROR(__xludf.DUMMYFUNCTION("""COMPUTED_VALUE"""),"Poison")</f>
        <v>Poison</v>
      </c>
      <c r="D287" s="3" t="str">
        <f ca="1">IFERROR(__xludf.DUMMYFUNCTION("""COMPUTED_VALUE"""),"Dark")</f>
        <v>Dark</v>
      </c>
      <c r="E287" s="17">
        <f ca="1">IFERROR(__xludf.DUMMYFUNCTION("""COMPUTED_VALUE"""),70)</f>
        <v>70</v>
      </c>
      <c r="F287" s="17">
        <f ca="1">IFERROR(__xludf.DUMMYFUNCTION("""COMPUTED_VALUE"""),10)</f>
        <v>10</v>
      </c>
      <c r="G287" s="18">
        <f ca="1">IFERROR(__xludf.DUMMYFUNCTION("""COMPUTED_VALUE"""),95)</f>
        <v>95</v>
      </c>
      <c r="H287" s="18">
        <f ca="1">IFERROR(__xludf.DUMMYFUNCTION("""COMPUTED_VALUE"""),0)</f>
        <v>0</v>
      </c>
      <c r="I287" s="19">
        <f ca="1">IFERROR(__xludf.DUMMYFUNCTION("""COMPUTED_VALUE"""),74)</f>
        <v>74</v>
      </c>
      <c r="J287" s="19">
        <f ca="1">IFERROR(__xludf.DUMMYFUNCTION("""COMPUTED_VALUE"""),5)</f>
        <v>5</v>
      </c>
      <c r="K287" s="20">
        <f ca="1">IFERROR(__xludf.DUMMYFUNCTION("""COMPUTED_VALUE"""),65)</f>
        <v>65</v>
      </c>
      <c r="L287" s="20">
        <f ca="1">IFERROR(__xludf.DUMMYFUNCTION("""COMPUTED_VALUE"""),0)</f>
        <v>0</v>
      </c>
      <c r="M287" s="21">
        <f ca="1">IFERROR(__xludf.DUMMYFUNCTION("""COMPUTED_VALUE"""),79)</f>
        <v>79</v>
      </c>
      <c r="N287" s="21">
        <f ca="1">IFERROR(__xludf.DUMMYFUNCTION("""COMPUTED_VALUE"""),0)</f>
        <v>0</v>
      </c>
      <c r="O287" s="22">
        <f ca="1">IFERROR(__xludf.DUMMYFUNCTION("""COMPUTED_VALUE"""),80)</f>
        <v>80</v>
      </c>
      <c r="P287" s="22">
        <f ca="1">IFERROR(__xludf.DUMMYFUNCTION("""COMPUTED_VALUE"""),0)</f>
        <v>0</v>
      </c>
      <c r="Q287" s="23">
        <f ca="1">IFERROR(__xludf.DUMMYFUNCTION("""COMPUTED_VALUE"""),463)</f>
        <v>463</v>
      </c>
      <c r="R287" s="23">
        <f ca="1">IFERROR(__xludf.DUMMYFUNCTION("""COMPUTED_VALUE"""),15)</f>
        <v>15</v>
      </c>
      <c r="S287" s="24" t="str">
        <f ca="1">IFERROR(__xludf.DUMMYFUNCTION("""COMPUTED_VALUE"""),"Intimidate")</f>
        <v>Intimidate</v>
      </c>
      <c r="T287" s="24" t="str">
        <f ca="1">IFERROR(__xludf.DUMMYFUNCTION("""COMPUTED_VALUE"""),"Shed Skin")</f>
        <v>Shed Skin</v>
      </c>
      <c r="U287" s="24" t="str">
        <f ca="1">IFERROR(__xludf.DUMMYFUNCTION("""COMPUTED_VALUE"""),"Strong Jaw")</f>
        <v>Strong Jaw</v>
      </c>
      <c r="V287" s="25" t="str">
        <f ca="1">IFERROR(__xludf.DUMMYFUNCTION("""COMPUTED_VALUE"""),"Lv. 22")</f>
        <v>Lv. 22</v>
      </c>
      <c r="W287" s="25"/>
      <c r="X287" s="25"/>
      <c r="Y287" s="25" t="str">
        <f ca="1">IFERROR(__xludf.DUMMYFUNCTION("""COMPUTED_VALUE"""),"Kaptara Island (wild)")</f>
        <v>Kaptara Island (wild)</v>
      </c>
    </row>
    <row r="288" spans="1:25" x14ac:dyDescent="0.25">
      <c r="A288" s="15" t="str">
        <f ca="1">IFERROR(__xludf.DUMMYFUNCTION("""COMPUTED_VALUE"""),"Basculin Red")</f>
        <v>Basculin Red</v>
      </c>
      <c r="B288" s="16">
        <f ca="1">IFERROR(__xludf.DUMMYFUNCTION("""COMPUTED_VALUE"""),287)</f>
        <v>287</v>
      </c>
      <c r="C288" s="3" t="str">
        <f ca="1">IFERROR(__xludf.DUMMYFUNCTION("""COMPUTED_VALUE"""),"Water")</f>
        <v>Water</v>
      </c>
      <c r="D288" s="3"/>
      <c r="E288" s="17">
        <f ca="1">IFERROR(__xludf.DUMMYFUNCTION("""COMPUTED_VALUE"""),70)</f>
        <v>70</v>
      </c>
      <c r="F288" s="17">
        <f ca="1">IFERROR(__xludf.DUMMYFUNCTION("""COMPUTED_VALUE"""),0)</f>
        <v>0</v>
      </c>
      <c r="G288" s="18">
        <f ca="1">IFERROR(__xludf.DUMMYFUNCTION("""COMPUTED_VALUE"""),102)</f>
        <v>102</v>
      </c>
      <c r="H288" s="18">
        <f ca="1">IFERROR(__xludf.DUMMYFUNCTION("""COMPUTED_VALUE"""),10)</f>
        <v>10</v>
      </c>
      <c r="I288" s="19">
        <f ca="1">IFERROR(__xludf.DUMMYFUNCTION("""COMPUTED_VALUE"""),65)</f>
        <v>65</v>
      </c>
      <c r="J288" s="19">
        <f ca="1">IFERROR(__xludf.DUMMYFUNCTION("""COMPUTED_VALUE"""),0)</f>
        <v>0</v>
      </c>
      <c r="K288" s="20">
        <f ca="1">IFERROR(__xludf.DUMMYFUNCTION("""COMPUTED_VALUE"""),80)</f>
        <v>80</v>
      </c>
      <c r="L288" s="20">
        <f ca="1">IFERROR(__xludf.DUMMYFUNCTION("""COMPUTED_VALUE"""),0)</f>
        <v>0</v>
      </c>
      <c r="M288" s="21">
        <f ca="1">IFERROR(__xludf.DUMMYFUNCTION("""COMPUTED_VALUE"""),55)</f>
        <v>55</v>
      </c>
      <c r="N288" s="21">
        <f ca="1">IFERROR(__xludf.DUMMYFUNCTION("""COMPUTED_VALUE"""),0)</f>
        <v>0</v>
      </c>
      <c r="O288" s="22">
        <f ca="1">IFERROR(__xludf.DUMMYFUNCTION("""COMPUTED_VALUE"""),98)</f>
        <v>98</v>
      </c>
      <c r="P288" s="22">
        <f ca="1">IFERROR(__xludf.DUMMYFUNCTION("""COMPUTED_VALUE"""),0)</f>
        <v>0</v>
      </c>
      <c r="Q288" s="23">
        <f ca="1">IFERROR(__xludf.DUMMYFUNCTION("""COMPUTED_VALUE"""),470)</f>
        <v>470</v>
      </c>
      <c r="R288" s="23">
        <f ca="1">IFERROR(__xludf.DUMMYFUNCTION("""COMPUTED_VALUE"""),10)</f>
        <v>10</v>
      </c>
      <c r="S288" s="24" t="str">
        <f ca="1">IFERROR(__xludf.DUMMYFUNCTION("""COMPUTED_VALUE"""),"Reckless")</f>
        <v>Reckless</v>
      </c>
      <c r="T288" s="24" t="str">
        <f ca="1">IFERROR(__xludf.DUMMYFUNCTION("""COMPUTED_VALUE"""),"Adaptability")</f>
        <v>Adaptability</v>
      </c>
      <c r="U288" s="24" t="str">
        <f ca="1">IFERROR(__xludf.DUMMYFUNCTION("""COMPUTED_VALUE"""),"Mold Breaker")</f>
        <v>Mold Breaker</v>
      </c>
      <c r="V288" s="25"/>
      <c r="W288" s="25"/>
      <c r="X288" s="25" t="str">
        <f ca="1">IFERROR(__xludf.DUMMYFUNCTION("""COMPUTED_VALUE"""),"Deep Sea Tooth")</f>
        <v>Deep Sea Tooth</v>
      </c>
      <c r="Y288" s="25" t="str">
        <f ca="1">IFERROR(__xludf.DUMMYFUNCTION("""COMPUTED_VALUE"""),"Myrrini Island")</f>
        <v>Myrrini Island</v>
      </c>
    </row>
    <row r="289" spans="1:25" x14ac:dyDescent="0.25">
      <c r="A289" s="15" t="str">
        <f ca="1">IFERROR(__xludf.DUMMYFUNCTION("""COMPUTED_VALUE"""),"Basculegion♂")</f>
        <v>Basculegion♂</v>
      </c>
      <c r="B289" s="16">
        <f ca="1">IFERROR(__xludf.DUMMYFUNCTION("""COMPUTED_VALUE"""),288)</f>
        <v>288</v>
      </c>
      <c r="C289" s="3" t="str">
        <f ca="1">IFERROR(__xludf.DUMMYFUNCTION("""COMPUTED_VALUE"""),"Water")</f>
        <v>Water</v>
      </c>
      <c r="D289" s="3" t="str">
        <f ca="1">IFERROR(__xludf.DUMMYFUNCTION("""COMPUTED_VALUE"""),"Ghost")</f>
        <v>Ghost</v>
      </c>
      <c r="E289" s="17">
        <f ca="1">IFERROR(__xludf.DUMMYFUNCTION("""COMPUTED_VALUE"""),120)</f>
        <v>120</v>
      </c>
      <c r="F289" s="17">
        <f ca="1">IFERROR(__xludf.DUMMYFUNCTION("""COMPUTED_VALUE"""),0)</f>
        <v>0</v>
      </c>
      <c r="G289" s="18">
        <f ca="1">IFERROR(__xludf.DUMMYFUNCTION("""COMPUTED_VALUE"""),112)</f>
        <v>112</v>
      </c>
      <c r="H289" s="18">
        <f ca="1">IFERROR(__xludf.DUMMYFUNCTION("""COMPUTED_VALUE"""),0)</f>
        <v>0</v>
      </c>
      <c r="I289" s="19">
        <f ca="1">IFERROR(__xludf.DUMMYFUNCTION("""COMPUTED_VALUE"""),65)</f>
        <v>65</v>
      </c>
      <c r="J289" s="19">
        <f ca="1">IFERROR(__xludf.DUMMYFUNCTION("""COMPUTED_VALUE"""),0)</f>
        <v>0</v>
      </c>
      <c r="K289" s="20">
        <f ca="1">IFERROR(__xludf.DUMMYFUNCTION("""COMPUTED_VALUE"""),80)</f>
        <v>80</v>
      </c>
      <c r="L289" s="20">
        <f ca="1">IFERROR(__xludf.DUMMYFUNCTION("""COMPUTED_VALUE"""),0)</f>
        <v>0</v>
      </c>
      <c r="M289" s="21">
        <f ca="1">IFERROR(__xludf.DUMMYFUNCTION("""COMPUTED_VALUE"""),75)</f>
        <v>75</v>
      </c>
      <c r="N289" s="21">
        <f ca="1">IFERROR(__xludf.DUMMYFUNCTION("""COMPUTED_VALUE"""),0)</f>
        <v>0</v>
      </c>
      <c r="O289" s="22">
        <f ca="1">IFERROR(__xludf.DUMMYFUNCTION("""COMPUTED_VALUE"""),78)</f>
        <v>78</v>
      </c>
      <c r="P289" s="22">
        <f ca="1">IFERROR(__xludf.DUMMYFUNCTION("""COMPUTED_VALUE"""),0)</f>
        <v>0</v>
      </c>
      <c r="Q289" s="23">
        <f ca="1">IFERROR(__xludf.DUMMYFUNCTION("""COMPUTED_VALUE"""),530)</f>
        <v>530</v>
      </c>
      <c r="R289" s="23">
        <f ca="1">IFERROR(__xludf.DUMMYFUNCTION("""COMPUTED_VALUE"""),0)</f>
        <v>0</v>
      </c>
      <c r="S289" s="24" t="str">
        <f ca="1">IFERROR(__xludf.DUMMYFUNCTION("""COMPUTED_VALUE"""),"Swift Swim")</f>
        <v>Swift Swim</v>
      </c>
      <c r="T289" s="24" t="str">
        <f ca="1">IFERROR(__xludf.DUMMYFUNCTION("""COMPUTED_VALUE"""),"Adaptability")</f>
        <v>Adaptability</v>
      </c>
      <c r="U289" s="24" t="str">
        <f ca="1">IFERROR(__xludf.DUMMYFUNCTION("""COMPUTED_VALUE"""),"Mold Breaker")</f>
        <v>Mold Breaker</v>
      </c>
      <c r="V289" s="25" t="str">
        <f ca="1">IFERROR(__xludf.DUMMYFUNCTION("""COMPUTED_VALUE"""),"Lv. after 294 Recoil Dmg, Male")</f>
        <v>Lv. after 294 Recoil Dmg, Male</v>
      </c>
      <c r="W289" s="25"/>
      <c r="X289" s="25"/>
      <c r="Y289" s="25" t="str">
        <f ca="1">IFERROR(__xludf.DUMMYFUNCTION("""COMPUTED_VALUE"""),"Basculin White (evolve)")</f>
        <v>Basculin White (evolve)</v>
      </c>
    </row>
    <row r="290" spans="1:25" x14ac:dyDescent="0.25">
      <c r="A290" s="15" t="str">
        <f ca="1">IFERROR(__xludf.DUMMYFUNCTION("""COMPUTED_VALUE"""),"Pancham")</f>
        <v>Pancham</v>
      </c>
      <c r="B290" s="16">
        <f ca="1">IFERROR(__xludf.DUMMYFUNCTION("""COMPUTED_VALUE"""),289)</f>
        <v>289</v>
      </c>
      <c r="C290" s="3" t="str">
        <f ca="1">IFERROR(__xludf.DUMMYFUNCTION("""COMPUTED_VALUE"""),"Fighting")</f>
        <v>Fighting</v>
      </c>
      <c r="D290" s="3"/>
      <c r="E290" s="17">
        <f ca="1">IFERROR(__xludf.DUMMYFUNCTION("""COMPUTED_VALUE"""),67)</f>
        <v>67</v>
      </c>
      <c r="F290" s="17">
        <f ca="1">IFERROR(__xludf.DUMMYFUNCTION("""COMPUTED_VALUE"""),0)</f>
        <v>0</v>
      </c>
      <c r="G290" s="18">
        <f ca="1">IFERROR(__xludf.DUMMYFUNCTION("""COMPUTED_VALUE"""),82)</f>
        <v>82</v>
      </c>
      <c r="H290" s="18">
        <f ca="1">IFERROR(__xludf.DUMMYFUNCTION("""COMPUTED_VALUE"""),0)</f>
        <v>0</v>
      </c>
      <c r="I290" s="19">
        <f ca="1">IFERROR(__xludf.DUMMYFUNCTION("""COMPUTED_VALUE"""),62)</f>
        <v>62</v>
      </c>
      <c r="J290" s="19">
        <f ca="1">IFERROR(__xludf.DUMMYFUNCTION("""COMPUTED_VALUE"""),0)</f>
        <v>0</v>
      </c>
      <c r="K290" s="20">
        <f ca="1">IFERROR(__xludf.DUMMYFUNCTION("""COMPUTED_VALUE"""),46)</f>
        <v>46</v>
      </c>
      <c r="L290" s="20">
        <f ca="1">IFERROR(__xludf.DUMMYFUNCTION("""COMPUTED_VALUE"""),0)</f>
        <v>0</v>
      </c>
      <c r="M290" s="21">
        <f ca="1">IFERROR(__xludf.DUMMYFUNCTION("""COMPUTED_VALUE"""),48)</f>
        <v>48</v>
      </c>
      <c r="N290" s="21">
        <f ca="1">IFERROR(__xludf.DUMMYFUNCTION("""COMPUTED_VALUE"""),0)</f>
        <v>0</v>
      </c>
      <c r="O290" s="22">
        <f ca="1">IFERROR(__xludf.DUMMYFUNCTION("""COMPUTED_VALUE"""),43)</f>
        <v>43</v>
      </c>
      <c r="P290" s="22">
        <f ca="1">IFERROR(__xludf.DUMMYFUNCTION("""COMPUTED_VALUE"""),0)</f>
        <v>0</v>
      </c>
      <c r="Q290" s="23">
        <f ca="1">IFERROR(__xludf.DUMMYFUNCTION("""COMPUTED_VALUE"""),348)</f>
        <v>348</v>
      </c>
      <c r="R290" s="23">
        <f ca="1">IFERROR(__xludf.DUMMYFUNCTION("""COMPUTED_VALUE"""),0)</f>
        <v>0</v>
      </c>
      <c r="S290" s="24" t="str">
        <f ca="1">IFERROR(__xludf.DUMMYFUNCTION("""COMPUTED_VALUE"""),"Iron Fist")</f>
        <v>Iron Fist</v>
      </c>
      <c r="T290" s="24" t="str">
        <f ca="1">IFERROR(__xludf.DUMMYFUNCTION("""COMPUTED_VALUE"""),"Mold Breaker")</f>
        <v>Mold Breaker</v>
      </c>
      <c r="U290" s="24" t="str">
        <f ca="1">IFERROR(__xludf.DUMMYFUNCTION("""COMPUTED_VALUE"""),"Scrappy")</f>
        <v>Scrappy</v>
      </c>
      <c r="V290" s="25"/>
      <c r="W290" s="25"/>
      <c r="X290" s="25" t="str">
        <f ca="1">IFERROR(__xludf.DUMMYFUNCTION("""COMPUTED_VALUE"""),"Mental Herb")</f>
        <v>Mental Herb</v>
      </c>
      <c r="Y290" s="25" t="str">
        <f ca="1">IFERROR(__xludf.DUMMYFUNCTION("""COMPUTED_VALUE"""),"Myrrini Island (wild)")</f>
        <v>Myrrini Island (wild)</v>
      </c>
    </row>
    <row r="291" spans="1:25" x14ac:dyDescent="0.25">
      <c r="A291" s="15" t="str">
        <f ca="1">IFERROR(__xludf.DUMMYFUNCTION("""COMPUTED_VALUE"""),"Pangoro")</f>
        <v>Pangoro</v>
      </c>
      <c r="B291" s="16">
        <f ca="1">IFERROR(__xludf.DUMMYFUNCTION("""COMPUTED_VALUE"""),290)</f>
        <v>290</v>
      </c>
      <c r="C291" s="3" t="str">
        <f ca="1">IFERROR(__xludf.DUMMYFUNCTION("""COMPUTED_VALUE"""),"Fighting")</f>
        <v>Fighting</v>
      </c>
      <c r="D291" s="3" t="str">
        <f ca="1">IFERROR(__xludf.DUMMYFUNCTION("""COMPUTED_VALUE"""),"Dark")</f>
        <v>Dark</v>
      </c>
      <c r="E291" s="17">
        <f ca="1">IFERROR(__xludf.DUMMYFUNCTION("""COMPUTED_VALUE"""),95)</f>
        <v>95</v>
      </c>
      <c r="F291" s="17">
        <f ca="1">IFERROR(__xludf.DUMMYFUNCTION("""COMPUTED_VALUE"""),0)</f>
        <v>0</v>
      </c>
      <c r="G291" s="18">
        <f ca="1">IFERROR(__xludf.DUMMYFUNCTION("""COMPUTED_VALUE"""),124)</f>
        <v>124</v>
      </c>
      <c r="H291" s="18">
        <f ca="1">IFERROR(__xludf.DUMMYFUNCTION("""COMPUTED_VALUE"""),0)</f>
        <v>0</v>
      </c>
      <c r="I291" s="19">
        <f ca="1">IFERROR(__xludf.DUMMYFUNCTION("""COMPUTED_VALUE"""),78)</f>
        <v>78</v>
      </c>
      <c r="J291" s="19">
        <f ca="1">IFERROR(__xludf.DUMMYFUNCTION("""COMPUTED_VALUE"""),0)</f>
        <v>0</v>
      </c>
      <c r="K291" s="20">
        <f ca="1">IFERROR(__xludf.DUMMYFUNCTION("""COMPUTED_VALUE"""),69)</f>
        <v>69</v>
      </c>
      <c r="L291" s="20">
        <f ca="1">IFERROR(__xludf.DUMMYFUNCTION("""COMPUTED_VALUE"""),0)</f>
        <v>0</v>
      </c>
      <c r="M291" s="21">
        <f ca="1">IFERROR(__xludf.DUMMYFUNCTION("""COMPUTED_VALUE"""),71)</f>
        <v>71</v>
      </c>
      <c r="N291" s="21">
        <f ca="1">IFERROR(__xludf.DUMMYFUNCTION("""COMPUTED_VALUE"""),0)</f>
        <v>0</v>
      </c>
      <c r="O291" s="22">
        <f ca="1">IFERROR(__xludf.DUMMYFUNCTION("""COMPUTED_VALUE"""),58)</f>
        <v>58</v>
      </c>
      <c r="P291" s="22">
        <f ca="1">IFERROR(__xludf.DUMMYFUNCTION("""COMPUTED_VALUE"""),0)</f>
        <v>0</v>
      </c>
      <c r="Q291" s="23">
        <f ca="1">IFERROR(__xludf.DUMMYFUNCTION("""COMPUTED_VALUE"""),495)</f>
        <v>495</v>
      </c>
      <c r="R291" s="23">
        <f ca="1">IFERROR(__xludf.DUMMYFUNCTION("""COMPUTED_VALUE"""),0)</f>
        <v>0</v>
      </c>
      <c r="S291" s="24" t="str">
        <f ca="1">IFERROR(__xludf.DUMMYFUNCTION("""COMPUTED_VALUE"""),"Iron Fist")</f>
        <v>Iron Fist</v>
      </c>
      <c r="T291" s="24" t="str">
        <f ca="1">IFERROR(__xludf.DUMMYFUNCTION("""COMPUTED_VALUE"""),"Mold Breaker")</f>
        <v>Mold Breaker</v>
      </c>
      <c r="U291" s="24" t="str">
        <f ca="1">IFERROR(__xludf.DUMMYFUNCTION("""COMPUTED_VALUE"""),"Scrappy")</f>
        <v>Scrappy</v>
      </c>
      <c r="V291" s="25" t="str">
        <f ca="1">IFERROR(__xludf.DUMMYFUNCTION("""COMPUTED_VALUE"""),"Lv. 30, /w Dark Type in Party")</f>
        <v>Lv. 30, /w Dark Type in Party</v>
      </c>
      <c r="W291" s="25"/>
      <c r="X291" s="25" t="str">
        <f ca="1">IFERROR(__xludf.DUMMYFUNCTION("""COMPUTED_VALUE"""),"Mental Herb")</f>
        <v>Mental Herb</v>
      </c>
      <c r="Y291" s="25" t="str">
        <f ca="1">IFERROR(__xludf.DUMMYFUNCTION("""COMPUTED_VALUE"""),"Pancham (evolve)")</f>
        <v>Pancham (evolve)</v>
      </c>
    </row>
    <row r="292" spans="1:25" x14ac:dyDescent="0.25">
      <c r="A292" s="15" t="str">
        <f ca="1">IFERROR(__xludf.DUMMYFUNCTION("""COMPUTED_VALUE"""),"Skrelp")</f>
        <v>Skrelp</v>
      </c>
      <c r="B292" s="16">
        <f ca="1">IFERROR(__xludf.DUMMYFUNCTION("""COMPUTED_VALUE"""),291)</f>
        <v>291</v>
      </c>
      <c r="C292" s="3" t="str">
        <f ca="1">IFERROR(__xludf.DUMMYFUNCTION("""COMPUTED_VALUE"""),"Poison")</f>
        <v>Poison</v>
      </c>
      <c r="D292" s="3" t="str">
        <f ca="1">IFERROR(__xludf.DUMMYFUNCTION("""COMPUTED_VALUE"""),"Water")</f>
        <v>Water</v>
      </c>
      <c r="E292" s="17">
        <f ca="1">IFERROR(__xludf.DUMMYFUNCTION("""COMPUTED_VALUE"""),50)</f>
        <v>50</v>
      </c>
      <c r="F292" s="17">
        <f ca="1">IFERROR(__xludf.DUMMYFUNCTION("""COMPUTED_VALUE"""),0)</f>
        <v>0</v>
      </c>
      <c r="G292" s="18">
        <f ca="1">IFERROR(__xludf.DUMMYFUNCTION("""COMPUTED_VALUE"""),60)</f>
        <v>60</v>
      </c>
      <c r="H292" s="18">
        <f ca="1">IFERROR(__xludf.DUMMYFUNCTION("""COMPUTED_VALUE"""),0)</f>
        <v>0</v>
      </c>
      <c r="I292" s="19">
        <f ca="1">IFERROR(__xludf.DUMMYFUNCTION("""COMPUTED_VALUE"""),60)</f>
        <v>60</v>
      </c>
      <c r="J292" s="19">
        <f ca="1">IFERROR(__xludf.DUMMYFUNCTION("""COMPUTED_VALUE"""),0)</f>
        <v>0</v>
      </c>
      <c r="K292" s="20">
        <f ca="1">IFERROR(__xludf.DUMMYFUNCTION("""COMPUTED_VALUE"""),60)</f>
        <v>60</v>
      </c>
      <c r="L292" s="20">
        <f ca="1">IFERROR(__xludf.DUMMYFUNCTION("""COMPUTED_VALUE"""),0)</f>
        <v>0</v>
      </c>
      <c r="M292" s="21">
        <f ca="1">IFERROR(__xludf.DUMMYFUNCTION("""COMPUTED_VALUE"""),60)</f>
        <v>60</v>
      </c>
      <c r="N292" s="21">
        <f ca="1">IFERROR(__xludf.DUMMYFUNCTION("""COMPUTED_VALUE"""),0)</f>
        <v>0</v>
      </c>
      <c r="O292" s="22">
        <f ca="1">IFERROR(__xludf.DUMMYFUNCTION("""COMPUTED_VALUE"""),30)</f>
        <v>30</v>
      </c>
      <c r="P292" s="22">
        <f ca="1">IFERROR(__xludf.DUMMYFUNCTION("""COMPUTED_VALUE"""),0)</f>
        <v>0</v>
      </c>
      <c r="Q292" s="23">
        <f ca="1">IFERROR(__xludf.DUMMYFUNCTION("""COMPUTED_VALUE"""),320)</f>
        <v>320</v>
      </c>
      <c r="R292" s="23">
        <f ca="1">IFERROR(__xludf.DUMMYFUNCTION("""COMPUTED_VALUE"""),0)</f>
        <v>0</v>
      </c>
      <c r="S292" s="24" t="str">
        <f ca="1">IFERROR(__xludf.DUMMYFUNCTION("""COMPUTED_VALUE"""),"Poison Point")</f>
        <v>Poison Point</v>
      </c>
      <c r="T292" s="24" t="str">
        <f ca="1">IFERROR(__xludf.DUMMYFUNCTION("""COMPUTED_VALUE"""),"Poison Touch")</f>
        <v>Poison Touch</v>
      </c>
      <c r="U292" s="24" t="str">
        <f ca="1">IFERROR(__xludf.DUMMYFUNCTION("""COMPUTED_VALUE"""),"Adaptability")</f>
        <v>Adaptability</v>
      </c>
      <c r="V292" s="25"/>
      <c r="W292" s="25"/>
      <c r="X292" s="25"/>
      <c r="Y292" s="25" t="str">
        <f ca="1">IFERROR(__xludf.DUMMYFUNCTION("""COMPUTED_VALUE"""),"Riverwalk Trail S, Kalami City (surf) Riverwalk Trail S, Kalami City (OR)(fish) Sea of Asteri")</f>
        <v>Riverwalk Trail S, Kalami City (surf) Riverwalk Trail S, Kalami City (OR)(fish) Sea of Asteri</v>
      </c>
    </row>
    <row r="293" spans="1:25" x14ac:dyDescent="0.25">
      <c r="A293" s="15" t="str">
        <f ca="1">IFERROR(__xludf.DUMMYFUNCTION("""COMPUTED_VALUE"""),"Dragalge")</f>
        <v>Dragalge</v>
      </c>
      <c r="B293" s="16">
        <f ca="1">IFERROR(__xludf.DUMMYFUNCTION("""COMPUTED_VALUE"""),292)</f>
        <v>292</v>
      </c>
      <c r="C293" s="3" t="str">
        <f ca="1">IFERROR(__xludf.DUMMYFUNCTION("""COMPUTED_VALUE"""),"Poison")</f>
        <v>Poison</v>
      </c>
      <c r="D293" s="3" t="str">
        <f ca="1">IFERROR(__xludf.DUMMYFUNCTION("""COMPUTED_VALUE"""),"Dragon")</f>
        <v>Dragon</v>
      </c>
      <c r="E293" s="17">
        <f ca="1">IFERROR(__xludf.DUMMYFUNCTION("""COMPUTED_VALUE"""),65)</f>
        <v>65</v>
      </c>
      <c r="F293" s="17">
        <f ca="1">IFERROR(__xludf.DUMMYFUNCTION("""COMPUTED_VALUE"""),0)</f>
        <v>0</v>
      </c>
      <c r="G293" s="18">
        <f ca="1">IFERROR(__xludf.DUMMYFUNCTION("""COMPUTED_VALUE"""),80)</f>
        <v>80</v>
      </c>
      <c r="H293" s="18">
        <f ca="1">IFERROR(__xludf.DUMMYFUNCTION("""COMPUTED_VALUE"""),5)</f>
        <v>5</v>
      </c>
      <c r="I293" s="19">
        <f ca="1">IFERROR(__xludf.DUMMYFUNCTION("""COMPUTED_VALUE"""),90)</f>
        <v>90</v>
      </c>
      <c r="J293" s="19">
        <f ca="1">IFERROR(__xludf.DUMMYFUNCTION("""COMPUTED_VALUE"""),0)</f>
        <v>0</v>
      </c>
      <c r="K293" s="20">
        <f ca="1">IFERROR(__xludf.DUMMYFUNCTION("""COMPUTED_VALUE"""),97)</f>
        <v>97</v>
      </c>
      <c r="L293" s="20">
        <f ca="1">IFERROR(__xludf.DUMMYFUNCTION("""COMPUTED_VALUE"""),0)</f>
        <v>0</v>
      </c>
      <c r="M293" s="21">
        <f ca="1">IFERROR(__xludf.DUMMYFUNCTION("""COMPUTED_VALUE"""),123)</f>
        <v>123</v>
      </c>
      <c r="N293" s="21">
        <f ca="1">IFERROR(__xludf.DUMMYFUNCTION("""COMPUTED_VALUE"""),0)</f>
        <v>0</v>
      </c>
      <c r="O293" s="22">
        <f ca="1">IFERROR(__xludf.DUMMYFUNCTION("""COMPUTED_VALUE"""),39)</f>
        <v>39</v>
      </c>
      <c r="P293" s="22">
        <f ca="1">IFERROR(__xludf.DUMMYFUNCTION("""COMPUTED_VALUE"""),-5)</f>
        <v>-5</v>
      </c>
      <c r="Q293" s="23">
        <f ca="1">IFERROR(__xludf.DUMMYFUNCTION("""COMPUTED_VALUE"""),494)</f>
        <v>494</v>
      </c>
      <c r="R293" s="23">
        <f ca="1">IFERROR(__xludf.DUMMYFUNCTION("""COMPUTED_VALUE"""),0)</f>
        <v>0</v>
      </c>
      <c r="S293" s="24" t="str">
        <f ca="1">IFERROR(__xludf.DUMMYFUNCTION("""COMPUTED_VALUE"""),"Poison Point")</f>
        <v>Poison Point</v>
      </c>
      <c r="T293" s="24" t="str">
        <f ca="1">IFERROR(__xludf.DUMMYFUNCTION("""COMPUTED_VALUE"""),"Poison Touch")</f>
        <v>Poison Touch</v>
      </c>
      <c r="U293" s="24" t="str">
        <f ca="1">IFERROR(__xludf.DUMMYFUNCTION("""COMPUTED_VALUE"""),"Adaptability")</f>
        <v>Adaptability</v>
      </c>
      <c r="V293" s="25" t="str">
        <f ca="1">IFERROR(__xludf.DUMMYFUNCTION("""COMPUTED_VALUE"""),"Lv. 37")</f>
        <v>Lv. 37</v>
      </c>
      <c r="W293" s="25"/>
      <c r="X293" s="25"/>
      <c r="Y293" s="25" t="str">
        <f ca="1">IFERROR(__xludf.DUMMYFUNCTION("""COMPUTED_VALUE"""),"Skrelp (evolve)")</f>
        <v>Skrelp (evolve)</v>
      </c>
    </row>
    <row r="294" spans="1:25" x14ac:dyDescent="0.25">
      <c r="A294" s="15" t="str">
        <f ca="1">IFERROR(__xludf.DUMMYFUNCTION("""COMPUTED_VALUE"""),"Gothita")</f>
        <v>Gothita</v>
      </c>
      <c r="B294" s="16">
        <f ca="1">IFERROR(__xludf.DUMMYFUNCTION("""COMPUTED_VALUE"""),293)</f>
        <v>293</v>
      </c>
      <c r="C294" s="3" t="str">
        <f ca="1">IFERROR(__xludf.DUMMYFUNCTION("""COMPUTED_VALUE"""),"Psychic")</f>
        <v>Psychic</v>
      </c>
      <c r="D294" s="3"/>
      <c r="E294" s="17">
        <f ca="1">IFERROR(__xludf.DUMMYFUNCTION("""COMPUTED_VALUE"""),45)</f>
        <v>45</v>
      </c>
      <c r="F294" s="17">
        <f ca="1">IFERROR(__xludf.DUMMYFUNCTION("""COMPUTED_VALUE"""),0)</f>
        <v>0</v>
      </c>
      <c r="G294" s="18">
        <f ca="1">IFERROR(__xludf.DUMMYFUNCTION("""COMPUTED_VALUE"""),30)</f>
        <v>30</v>
      </c>
      <c r="H294" s="18">
        <f ca="1">IFERROR(__xludf.DUMMYFUNCTION("""COMPUTED_VALUE"""),0)</f>
        <v>0</v>
      </c>
      <c r="I294" s="19">
        <f ca="1">IFERROR(__xludf.DUMMYFUNCTION("""COMPUTED_VALUE"""),50)</f>
        <v>50</v>
      </c>
      <c r="J294" s="19">
        <f ca="1">IFERROR(__xludf.DUMMYFUNCTION("""COMPUTED_VALUE"""),0)</f>
        <v>0</v>
      </c>
      <c r="K294" s="20">
        <f ca="1">IFERROR(__xludf.DUMMYFUNCTION("""COMPUTED_VALUE"""),55)</f>
        <v>55</v>
      </c>
      <c r="L294" s="20">
        <f ca="1">IFERROR(__xludf.DUMMYFUNCTION("""COMPUTED_VALUE"""),0)</f>
        <v>0</v>
      </c>
      <c r="M294" s="21">
        <f ca="1">IFERROR(__xludf.DUMMYFUNCTION("""COMPUTED_VALUE"""),65)</f>
        <v>65</v>
      </c>
      <c r="N294" s="21">
        <f ca="1">IFERROR(__xludf.DUMMYFUNCTION("""COMPUTED_VALUE"""),0)</f>
        <v>0</v>
      </c>
      <c r="O294" s="22">
        <f ca="1">IFERROR(__xludf.DUMMYFUNCTION("""COMPUTED_VALUE"""),45)</f>
        <v>45</v>
      </c>
      <c r="P294" s="22">
        <f ca="1">IFERROR(__xludf.DUMMYFUNCTION("""COMPUTED_VALUE"""),0)</f>
        <v>0</v>
      </c>
      <c r="Q294" s="23">
        <f ca="1">IFERROR(__xludf.DUMMYFUNCTION("""COMPUTED_VALUE"""),290)</f>
        <v>290</v>
      </c>
      <c r="R294" s="23">
        <f ca="1">IFERROR(__xludf.DUMMYFUNCTION("""COMPUTED_VALUE"""),0)</f>
        <v>0</v>
      </c>
      <c r="S294" s="24" t="str">
        <f ca="1">IFERROR(__xludf.DUMMYFUNCTION("""COMPUTED_VALUE"""),"Frisk")</f>
        <v>Frisk</v>
      </c>
      <c r="T294" s="24" t="str">
        <f ca="1">IFERROR(__xludf.DUMMYFUNCTION("""COMPUTED_VALUE"""),"Competitive")</f>
        <v>Competitive</v>
      </c>
      <c r="U294" s="24" t="str">
        <f ca="1">IFERROR(__xludf.DUMMYFUNCTION("""COMPUTED_VALUE"""),"Shadow Tag")</f>
        <v>Shadow Tag</v>
      </c>
      <c r="V294" s="25"/>
      <c r="W294" s="25"/>
      <c r="X294" s="25"/>
      <c r="Y294" s="25" t="str">
        <f ca="1">IFERROR(__xludf.DUMMYFUNCTION("""COMPUTED_VALUE"""),"Erinys Path W (wild)")</f>
        <v>Erinys Path W (wild)</v>
      </c>
    </row>
    <row r="295" spans="1:25" x14ac:dyDescent="0.25">
      <c r="A295" s="15" t="str">
        <f ca="1">IFERROR(__xludf.DUMMYFUNCTION("""COMPUTED_VALUE"""),"Gothorita")</f>
        <v>Gothorita</v>
      </c>
      <c r="B295" s="16">
        <f ca="1">IFERROR(__xludf.DUMMYFUNCTION("""COMPUTED_VALUE"""),294)</f>
        <v>294</v>
      </c>
      <c r="C295" s="3" t="str">
        <f ca="1">IFERROR(__xludf.DUMMYFUNCTION("""COMPUTED_VALUE"""),"Psychic")</f>
        <v>Psychic</v>
      </c>
      <c r="D295" s="3"/>
      <c r="E295" s="17">
        <f ca="1">IFERROR(__xludf.DUMMYFUNCTION("""COMPUTED_VALUE"""),60)</f>
        <v>60</v>
      </c>
      <c r="F295" s="17">
        <f ca="1">IFERROR(__xludf.DUMMYFUNCTION("""COMPUTED_VALUE"""),0)</f>
        <v>0</v>
      </c>
      <c r="G295" s="18">
        <f ca="1">IFERROR(__xludf.DUMMYFUNCTION("""COMPUTED_VALUE"""),45)</f>
        <v>45</v>
      </c>
      <c r="H295" s="18">
        <f ca="1">IFERROR(__xludf.DUMMYFUNCTION("""COMPUTED_VALUE"""),0)</f>
        <v>0</v>
      </c>
      <c r="I295" s="19">
        <f ca="1">IFERROR(__xludf.DUMMYFUNCTION("""COMPUTED_VALUE"""),70)</f>
        <v>70</v>
      </c>
      <c r="J295" s="19">
        <f ca="1">IFERROR(__xludf.DUMMYFUNCTION("""COMPUTED_VALUE"""),0)</f>
        <v>0</v>
      </c>
      <c r="K295" s="20">
        <f ca="1">IFERROR(__xludf.DUMMYFUNCTION("""COMPUTED_VALUE"""),75)</f>
        <v>75</v>
      </c>
      <c r="L295" s="20">
        <f ca="1">IFERROR(__xludf.DUMMYFUNCTION("""COMPUTED_VALUE"""),0)</f>
        <v>0</v>
      </c>
      <c r="M295" s="21">
        <f ca="1">IFERROR(__xludf.DUMMYFUNCTION("""COMPUTED_VALUE"""),85)</f>
        <v>85</v>
      </c>
      <c r="N295" s="21">
        <f ca="1">IFERROR(__xludf.DUMMYFUNCTION("""COMPUTED_VALUE"""),0)</f>
        <v>0</v>
      </c>
      <c r="O295" s="22">
        <f ca="1">IFERROR(__xludf.DUMMYFUNCTION("""COMPUTED_VALUE"""),55)</f>
        <v>55</v>
      </c>
      <c r="P295" s="22">
        <f ca="1">IFERROR(__xludf.DUMMYFUNCTION("""COMPUTED_VALUE"""),0)</f>
        <v>0</v>
      </c>
      <c r="Q295" s="23">
        <f ca="1">IFERROR(__xludf.DUMMYFUNCTION("""COMPUTED_VALUE"""),390)</f>
        <v>390</v>
      </c>
      <c r="R295" s="23">
        <f ca="1">IFERROR(__xludf.DUMMYFUNCTION("""COMPUTED_VALUE"""),0)</f>
        <v>0</v>
      </c>
      <c r="S295" s="24" t="str">
        <f ca="1">IFERROR(__xludf.DUMMYFUNCTION("""COMPUTED_VALUE"""),"Frisk")</f>
        <v>Frisk</v>
      </c>
      <c r="T295" s="24" t="str">
        <f ca="1">IFERROR(__xludf.DUMMYFUNCTION("""COMPUTED_VALUE"""),"Competitive")</f>
        <v>Competitive</v>
      </c>
      <c r="U295" s="24" t="str">
        <f ca="1">IFERROR(__xludf.DUMMYFUNCTION("""COMPUTED_VALUE"""),"Shadow Tag")</f>
        <v>Shadow Tag</v>
      </c>
      <c r="V295" s="25" t="str">
        <f ca="1">IFERROR(__xludf.DUMMYFUNCTION("""COMPUTED_VALUE"""),"Lv. 27")</f>
        <v>Lv. 27</v>
      </c>
      <c r="W295" s="25"/>
      <c r="X295" s="25"/>
      <c r="Y295" s="25" t="str">
        <f ca="1">IFERROR(__xludf.DUMMYFUNCTION("""COMPUTED_VALUE"""),"Kaptara Island (wild)")</f>
        <v>Kaptara Island (wild)</v>
      </c>
    </row>
    <row r="296" spans="1:25" x14ac:dyDescent="0.25">
      <c r="A296" s="15" t="str">
        <f ca="1">IFERROR(__xludf.DUMMYFUNCTION("""COMPUTED_VALUE"""),"Gothitelle")</f>
        <v>Gothitelle</v>
      </c>
      <c r="B296" s="16">
        <f ca="1">IFERROR(__xludf.DUMMYFUNCTION("""COMPUTED_VALUE"""),295)</f>
        <v>295</v>
      </c>
      <c r="C296" s="3" t="str">
        <f ca="1">IFERROR(__xludf.DUMMYFUNCTION("""COMPUTED_VALUE"""),"Psychic")</f>
        <v>Psychic</v>
      </c>
      <c r="D296" s="3"/>
      <c r="E296" s="17">
        <f ca="1">IFERROR(__xludf.DUMMYFUNCTION("""COMPUTED_VALUE"""),75)</f>
        <v>75</v>
      </c>
      <c r="F296" s="17">
        <f ca="1">IFERROR(__xludf.DUMMYFUNCTION("""COMPUTED_VALUE"""),5)</f>
        <v>5</v>
      </c>
      <c r="G296" s="18">
        <f ca="1">IFERROR(__xludf.DUMMYFUNCTION("""COMPUTED_VALUE"""),55)</f>
        <v>55</v>
      </c>
      <c r="H296" s="18">
        <f ca="1">IFERROR(__xludf.DUMMYFUNCTION("""COMPUTED_VALUE"""),0)</f>
        <v>0</v>
      </c>
      <c r="I296" s="19">
        <f ca="1">IFERROR(__xludf.DUMMYFUNCTION("""COMPUTED_VALUE"""),95)</f>
        <v>95</v>
      </c>
      <c r="J296" s="19">
        <f ca="1">IFERROR(__xludf.DUMMYFUNCTION("""COMPUTED_VALUE"""),0)</f>
        <v>0</v>
      </c>
      <c r="K296" s="20">
        <f ca="1">IFERROR(__xludf.DUMMYFUNCTION("""COMPUTED_VALUE"""),100)</f>
        <v>100</v>
      </c>
      <c r="L296" s="20">
        <f ca="1">IFERROR(__xludf.DUMMYFUNCTION("""COMPUTED_VALUE"""),5)</f>
        <v>5</v>
      </c>
      <c r="M296" s="21">
        <f ca="1">IFERROR(__xludf.DUMMYFUNCTION("""COMPUTED_VALUE"""),110)</f>
        <v>110</v>
      </c>
      <c r="N296" s="21">
        <f ca="1">IFERROR(__xludf.DUMMYFUNCTION("""COMPUTED_VALUE"""),0)</f>
        <v>0</v>
      </c>
      <c r="O296" s="22">
        <f ca="1">IFERROR(__xludf.DUMMYFUNCTION("""COMPUTED_VALUE"""),65)</f>
        <v>65</v>
      </c>
      <c r="P296" s="22">
        <f ca="1">IFERROR(__xludf.DUMMYFUNCTION("""COMPUTED_VALUE"""),0)</f>
        <v>0</v>
      </c>
      <c r="Q296" s="23">
        <f ca="1">IFERROR(__xludf.DUMMYFUNCTION("""COMPUTED_VALUE"""),500)</f>
        <v>500</v>
      </c>
      <c r="R296" s="23">
        <f ca="1">IFERROR(__xludf.DUMMYFUNCTION("""COMPUTED_VALUE"""),10)</f>
        <v>10</v>
      </c>
      <c r="S296" s="24" t="str">
        <f ca="1">IFERROR(__xludf.DUMMYFUNCTION("""COMPUTED_VALUE"""),"Frisk")</f>
        <v>Frisk</v>
      </c>
      <c r="T296" s="24" t="str">
        <f ca="1">IFERROR(__xludf.DUMMYFUNCTION("""COMPUTED_VALUE"""),"Competitive")</f>
        <v>Competitive</v>
      </c>
      <c r="U296" s="24" t="str">
        <f ca="1">IFERROR(__xludf.DUMMYFUNCTION("""COMPUTED_VALUE"""),"Shadow Tag")</f>
        <v>Shadow Tag</v>
      </c>
      <c r="V296" s="25" t="str">
        <f ca="1">IFERROR(__xludf.DUMMYFUNCTION("""COMPUTED_VALUE"""),"Lv. 41")</f>
        <v>Lv. 41</v>
      </c>
      <c r="W296" s="25"/>
      <c r="X296" s="25"/>
      <c r="Y296" s="25" t="str">
        <f ca="1">IFERROR(__xludf.DUMMYFUNCTION("""COMPUTED_VALUE"""),"Kaptara Island (wild)")</f>
        <v>Kaptara Island (wild)</v>
      </c>
    </row>
    <row r="297" spans="1:25" x14ac:dyDescent="0.25">
      <c r="A297" s="15" t="str">
        <f ca="1">IFERROR(__xludf.DUMMYFUNCTION("""COMPUTED_VALUE"""),"Solosis")</f>
        <v>Solosis</v>
      </c>
      <c r="B297" s="16">
        <f ca="1">IFERROR(__xludf.DUMMYFUNCTION("""COMPUTED_VALUE"""),296)</f>
        <v>296</v>
      </c>
      <c r="C297" s="3" t="str">
        <f ca="1">IFERROR(__xludf.DUMMYFUNCTION("""COMPUTED_VALUE"""),"Psychic")</f>
        <v>Psychic</v>
      </c>
      <c r="D297" s="3"/>
      <c r="E297" s="17">
        <f ca="1">IFERROR(__xludf.DUMMYFUNCTION("""COMPUTED_VALUE"""),45)</f>
        <v>45</v>
      </c>
      <c r="F297" s="17">
        <f ca="1">IFERROR(__xludf.DUMMYFUNCTION("""COMPUTED_VALUE"""),0)</f>
        <v>0</v>
      </c>
      <c r="G297" s="18">
        <f ca="1">IFERROR(__xludf.DUMMYFUNCTION("""COMPUTED_VALUE"""),30)</f>
        <v>30</v>
      </c>
      <c r="H297" s="18">
        <f ca="1">IFERROR(__xludf.DUMMYFUNCTION("""COMPUTED_VALUE"""),0)</f>
        <v>0</v>
      </c>
      <c r="I297" s="19">
        <f ca="1">IFERROR(__xludf.DUMMYFUNCTION("""COMPUTED_VALUE"""),40)</f>
        <v>40</v>
      </c>
      <c r="J297" s="19">
        <f ca="1">IFERROR(__xludf.DUMMYFUNCTION("""COMPUTED_VALUE"""),0)</f>
        <v>0</v>
      </c>
      <c r="K297" s="20">
        <f ca="1">IFERROR(__xludf.DUMMYFUNCTION("""COMPUTED_VALUE"""),105)</f>
        <v>105</v>
      </c>
      <c r="L297" s="20">
        <f ca="1">IFERROR(__xludf.DUMMYFUNCTION("""COMPUTED_VALUE"""),0)</f>
        <v>0</v>
      </c>
      <c r="M297" s="21">
        <f ca="1">IFERROR(__xludf.DUMMYFUNCTION("""COMPUTED_VALUE"""),50)</f>
        <v>50</v>
      </c>
      <c r="N297" s="21">
        <f ca="1">IFERROR(__xludf.DUMMYFUNCTION("""COMPUTED_VALUE"""),0)</f>
        <v>0</v>
      </c>
      <c r="O297" s="22">
        <f ca="1">IFERROR(__xludf.DUMMYFUNCTION("""COMPUTED_VALUE"""),20)</f>
        <v>20</v>
      </c>
      <c r="P297" s="22">
        <f ca="1">IFERROR(__xludf.DUMMYFUNCTION("""COMPUTED_VALUE"""),0)</f>
        <v>0</v>
      </c>
      <c r="Q297" s="23">
        <f ca="1">IFERROR(__xludf.DUMMYFUNCTION("""COMPUTED_VALUE"""),290)</f>
        <v>290</v>
      </c>
      <c r="R297" s="23">
        <f ca="1">IFERROR(__xludf.DUMMYFUNCTION("""COMPUTED_VALUE"""),0)</f>
        <v>0</v>
      </c>
      <c r="S297" s="24" t="str">
        <f ca="1">IFERROR(__xludf.DUMMYFUNCTION("""COMPUTED_VALUE"""),"Overcoat")</f>
        <v>Overcoat</v>
      </c>
      <c r="T297" s="24" t="str">
        <f ca="1">IFERROR(__xludf.DUMMYFUNCTION("""COMPUTED_VALUE"""),"Magic Guard")</f>
        <v>Magic Guard</v>
      </c>
      <c r="U297" s="24" t="str">
        <f ca="1">IFERROR(__xludf.DUMMYFUNCTION("""COMPUTED_VALUE"""),"Regenerator")</f>
        <v>Regenerator</v>
      </c>
      <c r="V297" s="25"/>
      <c r="W297" s="25"/>
      <c r="X297" s="25"/>
      <c r="Y297" s="25" t="str">
        <f ca="1">IFERROR(__xludf.DUMMYFUNCTION("""COMPUTED_VALUE"""),"Erinys Path W (wild)")</f>
        <v>Erinys Path W (wild)</v>
      </c>
    </row>
    <row r="298" spans="1:25" x14ac:dyDescent="0.25">
      <c r="A298" s="15" t="str">
        <f ca="1">IFERROR(__xludf.DUMMYFUNCTION("""COMPUTED_VALUE"""),"Duosion")</f>
        <v>Duosion</v>
      </c>
      <c r="B298" s="16">
        <f ca="1">IFERROR(__xludf.DUMMYFUNCTION("""COMPUTED_VALUE"""),297)</f>
        <v>297</v>
      </c>
      <c r="C298" s="3" t="str">
        <f ca="1">IFERROR(__xludf.DUMMYFUNCTION("""COMPUTED_VALUE"""),"Psychic")</f>
        <v>Psychic</v>
      </c>
      <c r="D298" s="3"/>
      <c r="E298" s="17">
        <f ca="1">IFERROR(__xludf.DUMMYFUNCTION("""COMPUTED_VALUE"""),65)</f>
        <v>65</v>
      </c>
      <c r="F298" s="17">
        <f ca="1">IFERROR(__xludf.DUMMYFUNCTION("""COMPUTED_VALUE"""),0)</f>
        <v>0</v>
      </c>
      <c r="G298" s="18">
        <f ca="1">IFERROR(__xludf.DUMMYFUNCTION("""COMPUTED_VALUE"""),40)</f>
        <v>40</v>
      </c>
      <c r="H298" s="18">
        <f ca="1">IFERROR(__xludf.DUMMYFUNCTION("""COMPUTED_VALUE"""),0)</f>
        <v>0</v>
      </c>
      <c r="I298" s="19">
        <f ca="1">IFERROR(__xludf.DUMMYFUNCTION("""COMPUTED_VALUE"""),50)</f>
        <v>50</v>
      </c>
      <c r="J298" s="19">
        <f ca="1">IFERROR(__xludf.DUMMYFUNCTION("""COMPUTED_VALUE"""),0)</f>
        <v>0</v>
      </c>
      <c r="K298" s="20">
        <f ca="1">IFERROR(__xludf.DUMMYFUNCTION("""COMPUTED_VALUE"""),125)</f>
        <v>125</v>
      </c>
      <c r="L298" s="20">
        <f ca="1">IFERROR(__xludf.DUMMYFUNCTION("""COMPUTED_VALUE"""),0)</f>
        <v>0</v>
      </c>
      <c r="M298" s="21">
        <f ca="1">IFERROR(__xludf.DUMMYFUNCTION("""COMPUTED_VALUE"""),60)</f>
        <v>60</v>
      </c>
      <c r="N298" s="21">
        <f ca="1">IFERROR(__xludf.DUMMYFUNCTION("""COMPUTED_VALUE"""),0)</f>
        <v>0</v>
      </c>
      <c r="O298" s="22">
        <f ca="1">IFERROR(__xludf.DUMMYFUNCTION("""COMPUTED_VALUE"""),30)</f>
        <v>30</v>
      </c>
      <c r="P298" s="22">
        <f ca="1">IFERROR(__xludf.DUMMYFUNCTION("""COMPUTED_VALUE"""),0)</f>
        <v>0</v>
      </c>
      <c r="Q298" s="23">
        <f ca="1">IFERROR(__xludf.DUMMYFUNCTION("""COMPUTED_VALUE"""),370)</f>
        <v>370</v>
      </c>
      <c r="R298" s="23">
        <f ca="1">IFERROR(__xludf.DUMMYFUNCTION("""COMPUTED_VALUE"""),0)</f>
        <v>0</v>
      </c>
      <c r="S298" s="24" t="str">
        <f ca="1">IFERROR(__xludf.DUMMYFUNCTION("""COMPUTED_VALUE"""),"Overcoat")</f>
        <v>Overcoat</v>
      </c>
      <c r="T298" s="24" t="str">
        <f ca="1">IFERROR(__xludf.DUMMYFUNCTION("""COMPUTED_VALUE"""),"Magic Guard")</f>
        <v>Magic Guard</v>
      </c>
      <c r="U298" s="24" t="str">
        <f ca="1">IFERROR(__xludf.DUMMYFUNCTION("""COMPUTED_VALUE"""),"Regenerator")</f>
        <v>Regenerator</v>
      </c>
      <c r="V298" s="25" t="str">
        <f ca="1">IFERROR(__xludf.DUMMYFUNCTION("""COMPUTED_VALUE"""),"Lv. 27")</f>
        <v>Lv. 27</v>
      </c>
      <c r="W298" s="25"/>
      <c r="X298" s="25"/>
      <c r="Y298" s="25" t="str">
        <f ca="1">IFERROR(__xludf.DUMMYFUNCTION("""COMPUTED_VALUE"""),"Kaptara Island (wild)")</f>
        <v>Kaptara Island (wild)</v>
      </c>
    </row>
    <row r="299" spans="1:25" x14ac:dyDescent="0.25">
      <c r="A299" s="15" t="str">
        <f ca="1">IFERROR(__xludf.DUMMYFUNCTION("""COMPUTED_VALUE"""),"Reuniclus")</f>
        <v>Reuniclus</v>
      </c>
      <c r="B299" s="16">
        <f ca="1">IFERROR(__xludf.DUMMYFUNCTION("""COMPUTED_VALUE"""),298)</f>
        <v>298</v>
      </c>
      <c r="C299" s="3" t="str">
        <f ca="1">IFERROR(__xludf.DUMMYFUNCTION("""COMPUTED_VALUE"""),"Psychic")</f>
        <v>Psychic</v>
      </c>
      <c r="D299" s="3"/>
      <c r="E299" s="17">
        <f ca="1">IFERROR(__xludf.DUMMYFUNCTION("""COMPUTED_VALUE"""),120)</f>
        <v>120</v>
      </c>
      <c r="F299" s="17">
        <f ca="1">IFERROR(__xludf.DUMMYFUNCTION("""COMPUTED_VALUE"""),10)</f>
        <v>10</v>
      </c>
      <c r="G299" s="18">
        <f ca="1">IFERROR(__xludf.DUMMYFUNCTION("""COMPUTED_VALUE"""),65)</f>
        <v>65</v>
      </c>
      <c r="H299" s="18">
        <f ca="1">IFERROR(__xludf.DUMMYFUNCTION("""COMPUTED_VALUE"""),0)</f>
        <v>0</v>
      </c>
      <c r="I299" s="19">
        <f ca="1">IFERROR(__xludf.DUMMYFUNCTION("""COMPUTED_VALUE"""),75)</f>
        <v>75</v>
      </c>
      <c r="J299" s="19">
        <f ca="1">IFERROR(__xludf.DUMMYFUNCTION("""COMPUTED_VALUE"""),0)</f>
        <v>0</v>
      </c>
      <c r="K299" s="20">
        <f ca="1">IFERROR(__xludf.DUMMYFUNCTION("""COMPUTED_VALUE"""),125)</f>
        <v>125</v>
      </c>
      <c r="L299" s="20">
        <f ca="1">IFERROR(__xludf.DUMMYFUNCTION("""COMPUTED_VALUE"""),0)</f>
        <v>0</v>
      </c>
      <c r="M299" s="21">
        <f ca="1">IFERROR(__xludf.DUMMYFUNCTION("""COMPUTED_VALUE"""),85)</f>
        <v>85</v>
      </c>
      <c r="N299" s="21">
        <f ca="1">IFERROR(__xludf.DUMMYFUNCTION("""COMPUTED_VALUE"""),0)</f>
        <v>0</v>
      </c>
      <c r="O299" s="22">
        <f ca="1">IFERROR(__xludf.DUMMYFUNCTION("""COMPUTED_VALUE"""),30)</f>
        <v>30</v>
      </c>
      <c r="P299" s="22">
        <f ca="1">IFERROR(__xludf.DUMMYFUNCTION("""COMPUTED_VALUE"""),0)</f>
        <v>0</v>
      </c>
      <c r="Q299" s="23">
        <f ca="1">IFERROR(__xludf.DUMMYFUNCTION("""COMPUTED_VALUE"""),500)</f>
        <v>500</v>
      </c>
      <c r="R299" s="23">
        <f ca="1">IFERROR(__xludf.DUMMYFUNCTION("""COMPUTED_VALUE"""),10)</f>
        <v>10</v>
      </c>
      <c r="S299" s="24" t="str">
        <f ca="1">IFERROR(__xludf.DUMMYFUNCTION("""COMPUTED_VALUE"""),"Overcoat")</f>
        <v>Overcoat</v>
      </c>
      <c r="T299" s="24" t="str">
        <f ca="1">IFERROR(__xludf.DUMMYFUNCTION("""COMPUTED_VALUE"""),"Magic Guard")</f>
        <v>Magic Guard</v>
      </c>
      <c r="U299" s="24" t="str">
        <f ca="1">IFERROR(__xludf.DUMMYFUNCTION("""COMPUTED_VALUE"""),"Regenerator")</f>
        <v>Regenerator</v>
      </c>
      <c r="V299" s="25" t="str">
        <f ca="1">IFERROR(__xludf.DUMMYFUNCTION("""COMPUTED_VALUE"""),"Lv. 41")</f>
        <v>Lv. 41</v>
      </c>
      <c r="W299" s="25"/>
      <c r="X299" s="25"/>
      <c r="Y299" s="25" t="str">
        <f ca="1">IFERROR(__xludf.DUMMYFUNCTION("""COMPUTED_VALUE"""),"Kaptara Island (wild)")</f>
        <v>Kaptara Island (wild)</v>
      </c>
    </row>
    <row r="300" spans="1:25" x14ac:dyDescent="0.25">
      <c r="A300" s="15" t="str">
        <f ca="1">IFERROR(__xludf.DUMMYFUNCTION("""COMPUTED_VALUE"""),"Litwick")</f>
        <v>Litwick</v>
      </c>
      <c r="B300" s="16">
        <f ca="1">IFERROR(__xludf.DUMMYFUNCTION("""COMPUTED_VALUE"""),299)</f>
        <v>299</v>
      </c>
      <c r="C300" s="3" t="str">
        <f ca="1">IFERROR(__xludf.DUMMYFUNCTION("""COMPUTED_VALUE"""),"Ghost")</f>
        <v>Ghost</v>
      </c>
      <c r="D300" s="3" t="str">
        <f ca="1">IFERROR(__xludf.DUMMYFUNCTION("""COMPUTED_VALUE"""),"Fire")</f>
        <v>Fire</v>
      </c>
      <c r="E300" s="17">
        <f ca="1">IFERROR(__xludf.DUMMYFUNCTION("""COMPUTED_VALUE"""),50)</f>
        <v>50</v>
      </c>
      <c r="F300" s="17">
        <f ca="1">IFERROR(__xludf.DUMMYFUNCTION("""COMPUTED_VALUE"""),0)</f>
        <v>0</v>
      </c>
      <c r="G300" s="18">
        <f ca="1">IFERROR(__xludf.DUMMYFUNCTION("""COMPUTED_VALUE"""),30)</f>
        <v>30</v>
      </c>
      <c r="H300" s="18">
        <f ca="1">IFERROR(__xludf.DUMMYFUNCTION("""COMPUTED_VALUE"""),0)</f>
        <v>0</v>
      </c>
      <c r="I300" s="19">
        <f ca="1">IFERROR(__xludf.DUMMYFUNCTION("""COMPUTED_VALUE"""),55)</f>
        <v>55</v>
      </c>
      <c r="J300" s="19">
        <f ca="1">IFERROR(__xludf.DUMMYFUNCTION("""COMPUTED_VALUE"""),0)</f>
        <v>0</v>
      </c>
      <c r="K300" s="20">
        <f ca="1">IFERROR(__xludf.DUMMYFUNCTION("""COMPUTED_VALUE"""),65)</f>
        <v>65</v>
      </c>
      <c r="L300" s="20">
        <f ca="1">IFERROR(__xludf.DUMMYFUNCTION("""COMPUTED_VALUE"""),0)</f>
        <v>0</v>
      </c>
      <c r="M300" s="21">
        <f ca="1">IFERROR(__xludf.DUMMYFUNCTION("""COMPUTED_VALUE"""),55)</f>
        <v>55</v>
      </c>
      <c r="N300" s="21">
        <f ca="1">IFERROR(__xludf.DUMMYFUNCTION("""COMPUTED_VALUE"""),0)</f>
        <v>0</v>
      </c>
      <c r="O300" s="22">
        <f ca="1">IFERROR(__xludf.DUMMYFUNCTION("""COMPUTED_VALUE"""),20)</f>
        <v>20</v>
      </c>
      <c r="P300" s="22">
        <f ca="1">IFERROR(__xludf.DUMMYFUNCTION("""COMPUTED_VALUE"""),0)</f>
        <v>0</v>
      </c>
      <c r="Q300" s="23">
        <f ca="1">IFERROR(__xludf.DUMMYFUNCTION("""COMPUTED_VALUE"""),275)</f>
        <v>275</v>
      </c>
      <c r="R300" s="23">
        <f ca="1">IFERROR(__xludf.DUMMYFUNCTION("""COMPUTED_VALUE"""),0)</f>
        <v>0</v>
      </c>
      <c r="S300" s="24" t="str">
        <f ca="1">IFERROR(__xludf.DUMMYFUNCTION("""COMPUTED_VALUE"""),"Flash Fire")</f>
        <v>Flash Fire</v>
      </c>
      <c r="T300" s="24" t="str">
        <f ca="1">IFERROR(__xludf.DUMMYFUNCTION("""COMPUTED_VALUE"""),"Flame Body")</f>
        <v>Flame Body</v>
      </c>
      <c r="U300" s="24" t="str">
        <f ca="1">IFERROR(__xludf.DUMMYFUNCTION("""COMPUTED_VALUE"""),"Infiltrator")</f>
        <v>Infiltrator</v>
      </c>
      <c r="V300" s="25"/>
      <c r="W300" s="25"/>
      <c r="X300" s="25"/>
      <c r="Y300" s="25" t="str">
        <f ca="1">IFERROR(__xludf.DUMMYFUNCTION("""COMPUTED_VALUE"""),"Pythios Cemetery (wild)")</f>
        <v>Pythios Cemetery (wild)</v>
      </c>
    </row>
    <row r="301" spans="1:25" x14ac:dyDescent="0.25">
      <c r="A301" s="15" t="str">
        <f ca="1">IFERROR(__xludf.DUMMYFUNCTION("""COMPUTED_VALUE"""),"Lampent")</f>
        <v>Lampent</v>
      </c>
      <c r="B301" s="16">
        <f ca="1">IFERROR(__xludf.DUMMYFUNCTION("""COMPUTED_VALUE"""),300)</f>
        <v>300</v>
      </c>
      <c r="C301" s="3" t="str">
        <f ca="1">IFERROR(__xludf.DUMMYFUNCTION("""COMPUTED_VALUE"""),"Ghost")</f>
        <v>Ghost</v>
      </c>
      <c r="D301" s="3" t="str">
        <f ca="1">IFERROR(__xludf.DUMMYFUNCTION("""COMPUTED_VALUE"""),"Fire")</f>
        <v>Fire</v>
      </c>
      <c r="E301" s="17">
        <f ca="1">IFERROR(__xludf.DUMMYFUNCTION("""COMPUTED_VALUE"""),60)</f>
        <v>60</v>
      </c>
      <c r="F301" s="17">
        <f ca="1">IFERROR(__xludf.DUMMYFUNCTION("""COMPUTED_VALUE"""),0)</f>
        <v>0</v>
      </c>
      <c r="G301" s="18">
        <f ca="1">IFERROR(__xludf.DUMMYFUNCTION("""COMPUTED_VALUE"""),40)</f>
        <v>40</v>
      </c>
      <c r="H301" s="18">
        <f ca="1">IFERROR(__xludf.DUMMYFUNCTION("""COMPUTED_VALUE"""),0)</f>
        <v>0</v>
      </c>
      <c r="I301" s="19">
        <f ca="1">IFERROR(__xludf.DUMMYFUNCTION("""COMPUTED_VALUE"""),60)</f>
        <v>60</v>
      </c>
      <c r="J301" s="19">
        <f ca="1">IFERROR(__xludf.DUMMYFUNCTION("""COMPUTED_VALUE"""),0)</f>
        <v>0</v>
      </c>
      <c r="K301" s="20">
        <f ca="1">IFERROR(__xludf.DUMMYFUNCTION("""COMPUTED_VALUE"""),95)</f>
        <v>95</v>
      </c>
      <c r="L301" s="20">
        <f ca="1">IFERROR(__xludf.DUMMYFUNCTION("""COMPUTED_VALUE"""),0)</f>
        <v>0</v>
      </c>
      <c r="M301" s="21">
        <f ca="1">IFERROR(__xludf.DUMMYFUNCTION("""COMPUTED_VALUE"""),60)</f>
        <v>60</v>
      </c>
      <c r="N301" s="21">
        <f ca="1">IFERROR(__xludf.DUMMYFUNCTION("""COMPUTED_VALUE"""),0)</f>
        <v>0</v>
      </c>
      <c r="O301" s="22">
        <f ca="1">IFERROR(__xludf.DUMMYFUNCTION("""COMPUTED_VALUE"""),55)</f>
        <v>55</v>
      </c>
      <c r="P301" s="22">
        <f ca="1">IFERROR(__xludf.DUMMYFUNCTION("""COMPUTED_VALUE"""),0)</f>
        <v>0</v>
      </c>
      <c r="Q301" s="23">
        <f ca="1">IFERROR(__xludf.DUMMYFUNCTION("""COMPUTED_VALUE"""),370)</f>
        <v>370</v>
      </c>
      <c r="R301" s="23">
        <f ca="1">IFERROR(__xludf.DUMMYFUNCTION("""COMPUTED_VALUE"""),0)</f>
        <v>0</v>
      </c>
      <c r="S301" s="24" t="str">
        <f ca="1">IFERROR(__xludf.DUMMYFUNCTION("""COMPUTED_VALUE"""),"Flash Fire")</f>
        <v>Flash Fire</v>
      </c>
      <c r="T301" s="24" t="str">
        <f ca="1">IFERROR(__xludf.DUMMYFUNCTION("""COMPUTED_VALUE"""),"Flame Body")</f>
        <v>Flame Body</v>
      </c>
      <c r="U301" s="24" t="str">
        <f ca="1">IFERROR(__xludf.DUMMYFUNCTION("""COMPUTED_VALUE"""),"Infiltrator")</f>
        <v>Infiltrator</v>
      </c>
      <c r="V301" s="25" t="str">
        <f ca="1">IFERROR(__xludf.DUMMYFUNCTION("""COMPUTED_VALUE"""),"Lv. 26")</f>
        <v>Lv. 26</v>
      </c>
      <c r="W301" s="25"/>
      <c r="X301" s="25"/>
      <c r="Y301" s="25" t="str">
        <f ca="1">IFERROR(__xludf.DUMMYFUNCTION("""COMPUTED_VALUE"""),"Litwick (evolve)")</f>
        <v>Litwick (evolve)</v>
      </c>
    </row>
    <row r="302" spans="1:25" x14ac:dyDescent="0.25">
      <c r="A302" s="15" t="str">
        <f ca="1">IFERROR(__xludf.DUMMYFUNCTION("""COMPUTED_VALUE"""),"Chandelure")</f>
        <v>Chandelure</v>
      </c>
      <c r="B302" s="16">
        <f ca="1">IFERROR(__xludf.DUMMYFUNCTION("""COMPUTED_VALUE"""),301)</f>
        <v>301</v>
      </c>
      <c r="C302" s="3" t="str">
        <f ca="1">IFERROR(__xludf.DUMMYFUNCTION("""COMPUTED_VALUE"""),"Ghost")</f>
        <v>Ghost</v>
      </c>
      <c r="D302" s="3" t="str">
        <f ca="1">IFERROR(__xludf.DUMMYFUNCTION("""COMPUTED_VALUE"""),"Fire")</f>
        <v>Fire</v>
      </c>
      <c r="E302" s="17">
        <f ca="1">IFERROR(__xludf.DUMMYFUNCTION("""COMPUTED_VALUE"""),70)</f>
        <v>70</v>
      </c>
      <c r="F302" s="17">
        <f ca="1">IFERROR(__xludf.DUMMYFUNCTION("""COMPUTED_VALUE"""),10)</f>
        <v>10</v>
      </c>
      <c r="G302" s="18">
        <f ca="1">IFERROR(__xludf.DUMMYFUNCTION("""COMPUTED_VALUE"""),55)</f>
        <v>55</v>
      </c>
      <c r="H302" s="18">
        <f ca="1">IFERROR(__xludf.DUMMYFUNCTION("""COMPUTED_VALUE"""),0)</f>
        <v>0</v>
      </c>
      <c r="I302" s="19">
        <f ca="1">IFERROR(__xludf.DUMMYFUNCTION("""COMPUTED_VALUE"""),90)</f>
        <v>90</v>
      </c>
      <c r="J302" s="19">
        <f ca="1">IFERROR(__xludf.DUMMYFUNCTION("""COMPUTED_VALUE"""),0)</f>
        <v>0</v>
      </c>
      <c r="K302" s="20">
        <f ca="1">IFERROR(__xludf.DUMMYFUNCTION("""COMPUTED_VALUE"""),145)</f>
        <v>145</v>
      </c>
      <c r="L302" s="20">
        <f ca="1">IFERROR(__xludf.DUMMYFUNCTION("""COMPUTED_VALUE"""),0)</f>
        <v>0</v>
      </c>
      <c r="M302" s="21">
        <f ca="1">IFERROR(__xludf.DUMMYFUNCTION("""COMPUTED_VALUE"""),100)</f>
        <v>100</v>
      </c>
      <c r="N302" s="21">
        <f ca="1">IFERROR(__xludf.DUMMYFUNCTION("""COMPUTED_VALUE"""),10)</f>
        <v>10</v>
      </c>
      <c r="O302" s="22">
        <f ca="1">IFERROR(__xludf.DUMMYFUNCTION("""COMPUTED_VALUE"""),80)</f>
        <v>80</v>
      </c>
      <c r="P302" s="22">
        <f ca="1">IFERROR(__xludf.DUMMYFUNCTION("""COMPUTED_VALUE"""),0)</f>
        <v>0</v>
      </c>
      <c r="Q302" s="23">
        <f ca="1">IFERROR(__xludf.DUMMYFUNCTION("""COMPUTED_VALUE"""),540)</f>
        <v>540</v>
      </c>
      <c r="R302" s="23">
        <f ca="1">IFERROR(__xludf.DUMMYFUNCTION("""COMPUTED_VALUE"""),20)</f>
        <v>20</v>
      </c>
      <c r="S302" s="24" t="str">
        <f ca="1">IFERROR(__xludf.DUMMYFUNCTION("""COMPUTED_VALUE"""),"Flash Fire")</f>
        <v>Flash Fire</v>
      </c>
      <c r="T302" s="24" t="str">
        <f ca="1">IFERROR(__xludf.DUMMYFUNCTION("""COMPUTED_VALUE"""),"Flame Body")</f>
        <v>Flame Body</v>
      </c>
      <c r="U302" s="24" t="str">
        <f ca="1">IFERROR(__xludf.DUMMYFUNCTION("""COMPUTED_VALUE"""),"Infiltrator")</f>
        <v>Infiltrator</v>
      </c>
      <c r="V302" s="25" t="str">
        <f ca="1">IFERROR(__xludf.DUMMYFUNCTION("""COMPUTED_VALUE"""),"Dusk Stone")</f>
        <v>Dusk Stone</v>
      </c>
      <c r="W302" s="25"/>
      <c r="X302" s="25"/>
      <c r="Y302" s="25" t="str">
        <f ca="1">IFERROR(__xludf.DUMMYFUNCTION("""COMPUTED_VALUE"""),"Lampent (evolve)")</f>
        <v>Lampent (evolve)</v>
      </c>
    </row>
    <row r="303" spans="1:25" x14ac:dyDescent="0.25">
      <c r="A303" s="15" t="str">
        <f ca="1">IFERROR(__xludf.DUMMYFUNCTION("""COMPUTED_VALUE"""),"Charcadet")</f>
        <v>Charcadet</v>
      </c>
      <c r="B303" s="16">
        <f ca="1">IFERROR(__xludf.DUMMYFUNCTION("""COMPUTED_VALUE"""),302)</f>
        <v>302</v>
      </c>
      <c r="C303" s="3" t="str">
        <f ca="1">IFERROR(__xludf.DUMMYFUNCTION("""COMPUTED_VALUE"""),"Fire")</f>
        <v>Fire</v>
      </c>
      <c r="D303" s="3"/>
      <c r="E303" s="17">
        <f ca="1">IFERROR(__xludf.DUMMYFUNCTION("""COMPUTED_VALUE"""),40)</f>
        <v>40</v>
      </c>
      <c r="F303" s="17">
        <f ca="1">IFERROR(__xludf.DUMMYFUNCTION("""COMPUTED_VALUE"""),0)</f>
        <v>0</v>
      </c>
      <c r="G303" s="18">
        <f ca="1">IFERROR(__xludf.DUMMYFUNCTION("""COMPUTED_VALUE"""),50)</f>
        <v>50</v>
      </c>
      <c r="H303" s="18">
        <f ca="1">IFERROR(__xludf.DUMMYFUNCTION("""COMPUTED_VALUE"""),0)</f>
        <v>0</v>
      </c>
      <c r="I303" s="19">
        <f ca="1">IFERROR(__xludf.DUMMYFUNCTION("""COMPUTED_VALUE"""),40)</f>
        <v>40</v>
      </c>
      <c r="J303" s="19">
        <f ca="1">IFERROR(__xludf.DUMMYFUNCTION("""COMPUTED_VALUE"""),0)</f>
        <v>0</v>
      </c>
      <c r="K303" s="20">
        <f ca="1">IFERROR(__xludf.DUMMYFUNCTION("""COMPUTED_VALUE"""),50)</f>
        <v>50</v>
      </c>
      <c r="L303" s="20">
        <f ca="1">IFERROR(__xludf.DUMMYFUNCTION("""COMPUTED_VALUE"""),0)</f>
        <v>0</v>
      </c>
      <c r="M303" s="21">
        <f ca="1">IFERROR(__xludf.DUMMYFUNCTION("""COMPUTED_VALUE"""),40)</f>
        <v>40</v>
      </c>
      <c r="N303" s="21">
        <f ca="1">IFERROR(__xludf.DUMMYFUNCTION("""COMPUTED_VALUE"""),0)</f>
        <v>0</v>
      </c>
      <c r="O303" s="22">
        <f ca="1">IFERROR(__xludf.DUMMYFUNCTION("""COMPUTED_VALUE"""),35)</f>
        <v>35</v>
      </c>
      <c r="P303" s="22">
        <f ca="1">IFERROR(__xludf.DUMMYFUNCTION("""COMPUTED_VALUE"""),0)</f>
        <v>0</v>
      </c>
      <c r="Q303" s="23">
        <f ca="1">IFERROR(__xludf.DUMMYFUNCTION("""COMPUTED_VALUE"""),255)</f>
        <v>255</v>
      </c>
      <c r="R303" s="23">
        <f ca="1">IFERROR(__xludf.DUMMYFUNCTION("""COMPUTED_VALUE"""),0)</f>
        <v>0</v>
      </c>
      <c r="S303" s="24" t="str">
        <f ca="1">IFERROR(__xludf.DUMMYFUNCTION("""COMPUTED_VALUE"""),"Flash Fire")</f>
        <v>Flash Fire</v>
      </c>
      <c r="T303" s="24" t="str">
        <f ca="1">IFERROR(__xludf.DUMMYFUNCTION("""COMPUTED_VALUE"""),"Flame Body")</f>
        <v>Flame Body</v>
      </c>
      <c r="U303" s="24" t="str">
        <f ca="1">IFERROR(__xludf.DUMMYFUNCTION("""COMPUTED_VALUE"""),"Weak Armor")</f>
        <v>Weak Armor</v>
      </c>
      <c r="V303" s="25"/>
      <c r="W303" s="25"/>
      <c r="X303" s="25"/>
      <c r="Y303" s="25" t="str">
        <f ca="1">IFERROR(__xludf.DUMMYFUNCTION("""COMPUTED_VALUE"""),"Sea of Asteri, Sea of Vulcai (wild)")</f>
        <v>Sea of Asteri, Sea of Vulcai (wild)</v>
      </c>
    </row>
    <row r="304" spans="1:25" x14ac:dyDescent="0.25">
      <c r="A304" s="15" t="str">
        <f ca="1">IFERROR(__xludf.DUMMYFUNCTION("""COMPUTED_VALUE"""),"Armarouge")</f>
        <v>Armarouge</v>
      </c>
      <c r="B304" s="16">
        <f ca="1">IFERROR(__xludf.DUMMYFUNCTION("""COMPUTED_VALUE"""),303)</f>
        <v>303</v>
      </c>
      <c r="C304" s="3" t="str">
        <f ca="1">IFERROR(__xludf.DUMMYFUNCTION("""COMPUTED_VALUE"""),"Fire")</f>
        <v>Fire</v>
      </c>
      <c r="D304" s="3" t="str">
        <f ca="1">IFERROR(__xludf.DUMMYFUNCTION("""COMPUTED_VALUE"""),"Psychic")</f>
        <v>Psychic</v>
      </c>
      <c r="E304" s="17">
        <f ca="1">IFERROR(__xludf.DUMMYFUNCTION("""COMPUTED_VALUE"""),85)</f>
        <v>85</v>
      </c>
      <c r="F304" s="17">
        <f ca="1">IFERROR(__xludf.DUMMYFUNCTION("""COMPUTED_VALUE"""),0)</f>
        <v>0</v>
      </c>
      <c r="G304" s="18">
        <f ca="1">IFERROR(__xludf.DUMMYFUNCTION("""COMPUTED_VALUE"""),60)</f>
        <v>60</v>
      </c>
      <c r="H304" s="18">
        <f ca="1">IFERROR(__xludf.DUMMYFUNCTION("""COMPUTED_VALUE"""),0)</f>
        <v>0</v>
      </c>
      <c r="I304" s="19">
        <f ca="1">IFERROR(__xludf.DUMMYFUNCTION("""COMPUTED_VALUE"""),100)</f>
        <v>100</v>
      </c>
      <c r="J304" s="19">
        <f ca="1">IFERROR(__xludf.DUMMYFUNCTION("""COMPUTED_VALUE"""),0)</f>
        <v>0</v>
      </c>
      <c r="K304" s="20">
        <f ca="1">IFERROR(__xludf.DUMMYFUNCTION("""COMPUTED_VALUE"""),125)</f>
        <v>125</v>
      </c>
      <c r="L304" s="20">
        <f ca="1">IFERROR(__xludf.DUMMYFUNCTION("""COMPUTED_VALUE"""),0)</f>
        <v>0</v>
      </c>
      <c r="M304" s="21">
        <f ca="1">IFERROR(__xludf.DUMMYFUNCTION("""COMPUTED_VALUE"""),80)</f>
        <v>80</v>
      </c>
      <c r="N304" s="21">
        <f ca="1">IFERROR(__xludf.DUMMYFUNCTION("""COMPUTED_VALUE"""),0)</f>
        <v>0</v>
      </c>
      <c r="O304" s="22">
        <f ca="1">IFERROR(__xludf.DUMMYFUNCTION("""COMPUTED_VALUE"""),75)</f>
        <v>75</v>
      </c>
      <c r="P304" s="22">
        <f ca="1">IFERROR(__xludf.DUMMYFUNCTION("""COMPUTED_VALUE"""),0)</f>
        <v>0</v>
      </c>
      <c r="Q304" s="23">
        <f ca="1">IFERROR(__xludf.DUMMYFUNCTION("""COMPUTED_VALUE"""),525)</f>
        <v>525</v>
      </c>
      <c r="R304" s="23">
        <f ca="1">IFERROR(__xludf.DUMMYFUNCTION("""COMPUTED_VALUE"""),0)</f>
        <v>0</v>
      </c>
      <c r="S304" s="24" t="str">
        <f ca="1">IFERROR(__xludf.DUMMYFUNCTION("""COMPUTED_VALUE"""),"Flash Fire")</f>
        <v>Flash Fire</v>
      </c>
      <c r="T304" s="25" t="str">
        <f ca="1">IFERROR(__xludf.DUMMYFUNCTION("""COMPUTED_VALUE"""),"Mega Launcher")</f>
        <v>Mega Launcher</v>
      </c>
      <c r="U304" s="24" t="str">
        <f ca="1">IFERROR(__xludf.DUMMYFUNCTION("""COMPUTED_VALUE"""),"Weak Armor")</f>
        <v>Weak Armor</v>
      </c>
      <c r="V304" s="25" t="str">
        <f ca="1">IFERROR(__xludf.DUMMYFUNCTION("""COMPUTED_VALUE"""),"Auspicious Armor")</f>
        <v>Auspicious Armor</v>
      </c>
      <c r="W304" s="25"/>
      <c r="X304" s="25"/>
      <c r="Y304" s="25" t="str">
        <f ca="1">IFERROR(__xludf.DUMMYFUNCTION("""COMPUTED_VALUE"""),"Charcadet (evolve)")</f>
        <v>Charcadet (evolve)</v>
      </c>
    </row>
    <row r="305" spans="1:25" x14ac:dyDescent="0.25">
      <c r="A305" s="15" t="str">
        <f ca="1">IFERROR(__xludf.DUMMYFUNCTION("""COMPUTED_VALUE"""),"Ceruledge")</f>
        <v>Ceruledge</v>
      </c>
      <c r="B305" s="16">
        <f ca="1">IFERROR(__xludf.DUMMYFUNCTION("""COMPUTED_VALUE"""),304)</f>
        <v>304</v>
      </c>
      <c r="C305" s="3" t="str">
        <f ca="1">IFERROR(__xludf.DUMMYFUNCTION("""COMPUTED_VALUE"""),"Fire")</f>
        <v>Fire</v>
      </c>
      <c r="D305" s="3" t="str">
        <f ca="1">IFERROR(__xludf.DUMMYFUNCTION("""COMPUTED_VALUE"""),"Ghost")</f>
        <v>Ghost</v>
      </c>
      <c r="E305" s="17">
        <f ca="1">IFERROR(__xludf.DUMMYFUNCTION("""COMPUTED_VALUE"""),75)</f>
        <v>75</v>
      </c>
      <c r="F305" s="17">
        <f ca="1">IFERROR(__xludf.DUMMYFUNCTION("""COMPUTED_VALUE"""),0)</f>
        <v>0</v>
      </c>
      <c r="G305" s="18">
        <f ca="1">IFERROR(__xludf.DUMMYFUNCTION("""COMPUTED_VALUE"""),125)</f>
        <v>125</v>
      </c>
      <c r="H305" s="18">
        <f ca="1">IFERROR(__xludf.DUMMYFUNCTION("""COMPUTED_VALUE"""),0)</f>
        <v>0</v>
      </c>
      <c r="I305" s="19">
        <f ca="1">IFERROR(__xludf.DUMMYFUNCTION("""COMPUTED_VALUE"""),80)</f>
        <v>80</v>
      </c>
      <c r="J305" s="19">
        <f ca="1">IFERROR(__xludf.DUMMYFUNCTION("""COMPUTED_VALUE"""),0)</f>
        <v>0</v>
      </c>
      <c r="K305" s="20">
        <f ca="1">IFERROR(__xludf.DUMMYFUNCTION("""COMPUTED_VALUE"""),60)</f>
        <v>60</v>
      </c>
      <c r="L305" s="20">
        <f ca="1">IFERROR(__xludf.DUMMYFUNCTION("""COMPUTED_VALUE"""),0)</f>
        <v>0</v>
      </c>
      <c r="M305" s="21">
        <f ca="1">IFERROR(__xludf.DUMMYFUNCTION("""COMPUTED_VALUE"""),100)</f>
        <v>100</v>
      </c>
      <c r="N305" s="21">
        <f ca="1">IFERROR(__xludf.DUMMYFUNCTION("""COMPUTED_VALUE"""),0)</f>
        <v>0</v>
      </c>
      <c r="O305" s="22">
        <f ca="1">IFERROR(__xludf.DUMMYFUNCTION("""COMPUTED_VALUE"""),85)</f>
        <v>85</v>
      </c>
      <c r="P305" s="22">
        <f ca="1">IFERROR(__xludf.DUMMYFUNCTION("""COMPUTED_VALUE"""),0)</f>
        <v>0</v>
      </c>
      <c r="Q305" s="23">
        <f ca="1">IFERROR(__xludf.DUMMYFUNCTION("""COMPUTED_VALUE"""),525)</f>
        <v>525</v>
      </c>
      <c r="R305" s="23">
        <f ca="1">IFERROR(__xludf.DUMMYFUNCTION("""COMPUTED_VALUE"""),0)</f>
        <v>0</v>
      </c>
      <c r="S305" s="24" t="str">
        <f ca="1">IFERROR(__xludf.DUMMYFUNCTION("""COMPUTED_VALUE"""),"Flash Fire")</f>
        <v>Flash Fire</v>
      </c>
      <c r="T305" s="25" t="str">
        <f ca="1">IFERROR(__xludf.DUMMYFUNCTION("""COMPUTED_VALUE"""),"Sharpness")</f>
        <v>Sharpness</v>
      </c>
      <c r="U305" s="24" t="str">
        <f ca="1">IFERROR(__xludf.DUMMYFUNCTION("""COMPUTED_VALUE"""),"Weak Armor")</f>
        <v>Weak Armor</v>
      </c>
      <c r="V305" s="25" t="str">
        <f ca="1">IFERROR(__xludf.DUMMYFUNCTION("""COMPUTED_VALUE"""),"Malicious Armor")</f>
        <v>Malicious Armor</v>
      </c>
      <c r="W305" s="25"/>
      <c r="X305" s="25"/>
      <c r="Y305" s="25" t="str">
        <f ca="1">IFERROR(__xludf.DUMMYFUNCTION("""COMPUTED_VALUE"""),"Charcadet (evolve)")</f>
        <v>Charcadet (evolve)</v>
      </c>
    </row>
    <row r="306" spans="1:25" x14ac:dyDescent="0.25">
      <c r="A306" s="15" t="str">
        <f ca="1">IFERROR(__xludf.DUMMYFUNCTION("""COMPUTED_VALUE"""),"Chinchou")</f>
        <v>Chinchou</v>
      </c>
      <c r="B306" s="16">
        <f ca="1">IFERROR(__xludf.DUMMYFUNCTION("""COMPUTED_VALUE"""),305)</f>
        <v>305</v>
      </c>
      <c r="C306" s="3" t="str">
        <f ca="1">IFERROR(__xludf.DUMMYFUNCTION("""COMPUTED_VALUE"""),"Water")</f>
        <v>Water</v>
      </c>
      <c r="D306" s="3" t="str">
        <f ca="1">IFERROR(__xludf.DUMMYFUNCTION("""COMPUTED_VALUE"""),"Electric")</f>
        <v>Electric</v>
      </c>
      <c r="E306" s="17">
        <f ca="1">IFERROR(__xludf.DUMMYFUNCTION("""COMPUTED_VALUE"""),75)</f>
        <v>75</v>
      </c>
      <c r="F306" s="17">
        <f ca="1">IFERROR(__xludf.DUMMYFUNCTION("""COMPUTED_VALUE"""),0)</f>
        <v>0</v>
      </c>
      <c r="G306" s="18">
        <f ca="1">IFERROR(__xludf.DUMMYFUNCTION("""COMPUTED_VALUE"""),38)</f>
        <v>38</v>
      </c>
      <c r="H306" s="18">
        <f ca="1">IFERROR(__xludf.DUMMYFUNCTION("""COMPUTED_VALUE"""),0)</f>
        <v>0</v>
      </c>
      <c r="I306" s="19">
        <f ca="1">IFERROR(__xludf.DUMMYFUNCTION("""COMPUTED_VALUE"""),43)</f>
        <v>43</v>
      </c>
      <c r="J306" s="19">
        <f ca="1">IFERROR(__xludf.DUMMYFUNCTION("""COMPUTED_VALUE"""),5)</f>
        <v>5</v>
      </c>
      <c r="K306" s="20">
        <f ca="1">IFERROR(__xludf.DUMMYFUNCTION("""COMPUTED_VALUE"""),61)</f>
        <v>61</v>
      </c>
      <c r="L306" s="20">
        <f ca="1">IFERROR(__xludf.DUMMYFUNCTION("""COMPUTED_VALUE"""),5)</f>
        <v>5</v>
      </c>
      <c r="M306" s="21">
        <f ca="1">IFERROR(__xludf.DUMMYFUNCTION("""COMPUTED_VALUE"""),56)</f>
        <v>56</v>
      </c>
      <c r="N306" s="21">
        <f ca="1">IFERROR(__xludf.DUMMYFUNCTION("""COMPUTED_VALUE"""),0)</f>
        <v>0</v>
      </c>
      <c r="O306" s="22">
        <f ca="1">IFERROR(__xludf.DUMMYFUNCTION("""COMPUTED_VALUE"""),57)</f>
        <v>57</v>
      </c>
      <c r="P306" s="22">
        <f ca="1">IFERROR(__xludf.DUMMYFUNCTION("""COMPUTED_VALUE"""),-10)</f>
        <v>-10</v>
      </c>
      <c r="Q306" s="23">
        <f ca="1">IFERROR(__xludf.DUMMYFUNCTION("""COMPUTED_VALUE"""),330)</f>
        <v>330</v>
      </c>
      <c r="R306" s="23">
        <f ca="1">IFERROR(__xludf.DUMMYFUNCTION("""COMPUTED_VALUE"""),0)</f>
        <v>0</v>
      </c>
      <c r="S306" s="24" t="str">
        <f ca="1">IFERROR(__xludf.DUMMYFUNCTION("""COMPUTED_VALUE"""),"Volt Absorb")</f>
        <v>Volt Absorb</v>
      </c>
      <c r="T306" s="24" t="str">
        <f ca="1">IFERROR(__xludf.DUMMYFUNCTION("""COMPUTED_VALUE"""),"Illuminate")</f>
        <v>Illuminate</v>
      </c>
      <c r="U306" s="24" t="str">
        <f ca="1">IFERROR(__xludf.DUMMYFUNCTION("""COMPUTED_VALUE"""),"Water Absorb")</f>
        <v>Water Absorb</v>
      </c>
      <c r="V306" s="25"/>
      <c r="W306" s="25"/>
      <c r="X306" s="25" t="str">
        <f ca="1">IFERROR(__xludf.DUMMYFUNCTION("""COMPUTED_VALUE"""),"Deep Sea Scale")</f>
        <v>Deep Sea Scale</v>
      </c>
      <c r="Y306" s="25" t="str">
        <f ca="1">IFERROR(__xludf.DUMMYFUNCTION("""COMPUTED_VALUE"""),"Sea of Asteri, Marmaro Island, Sea of Vulcai, Fresco Isles")</f>
        <v>Sea of Asteri, Marmaro Island, Sea of Vulcai, Fresco Isles</v>
      </c>
    </row>
    <row r="307" spans="1:25" x14ac:dyDescent="0.25">
      <c r="A307" s="15" t="str">
        <f ca="1">IFERROR(__xludf.DUMMYFUNCTION("""COMPUTED_VALUE"""),"Lanturn")</f>
        <v>Lanturn</v>
      </c>
      <c r="B307" s="16">
        <f ca="1">IFERROR(__xludf.DUMMYFUNCTION("""COMPUTED_VALUE"""),306)</f>
        <v>306</v>
      </c>
      <c r="C307" s="3" t="str">
        <f ca="1">IFERROR(__xludf.DUMMYFUNCTION("""COMPUTED_VALUE"""),"Water")</f>
        <v>Water</v>
      </c>
      <c r="D307" s="3" t="str">
        <f ca="1">IFERROR(__xludf.DUMMYFUNCTION("""COMPUTED_VALUE"""),"Electric")</f>
        <v>Electric</v>
      </c>
      <c r="E307" s="17">
        <f ca="1">IFERROR(__xludf.DUMMYFUNCTION("""COMPUTED_VALUE"""),125)</f>
        <v>125</v>
      </c>
      <c r="F307" s="17">
        <f ca="1">IFERROR(__xludf.DUMMYFUNCTION("""COMPUTED_VALUE"""),0)</f>
        <v>0</v>
      </c>
      <c r="G307" s="18">
        <f ca="1">IFERROR(__xludf.DUMMYFUNCTION("""COMPUTED_VALUE"""),58)</f>
        <v>58</v>
      </c>
      <c r="H307" s="18">
        <f ca="1">IFERROR(__xludf.DUMMYFUNCTION("""COMPUTED_VALUE"""),0)</f>
        <v>0</v>
      </c>
      <c r="I307" s="19">
        <f ca="1">IFERROR(__xludf.DUMMYFUNCTION("""COMPUTED_VALUE"""),63)</f>
        <v>63</v>
      </c>
      <c r="J307" s="19">
        <f ca="1">IFERROR(__xludf.DUMMYFUNCTION("""COMPUTED_VALUE"""),5)</f>
        <v>5</v>
      </c>
      <c r="K307" s="20">
        <f ca="1">IFERROR(__xludf.DUMMYFUNCTION("""COMPUTED_VALUE"""),81)</f>
        <v>81</v>
      </c>
      <c r="L307" s="20">
        <f ca="1">IFERROR(__xludf.DUMMYFUNCTION("""COMPUTED_VALUE"""),5)</f>
        <v>5</v>
      </c>
      <c r="M307" s="21">
        <f ca="1">IFERROR(__xludf.DUMMYFUNCTION("""COMPUTED_VALUE"""),76)</f>
        <v>76</v>
      </c>
      <c r="N307" s="21">
        <f ca="1">IFERROR(__xludf.DUMMYFUNCTION("""COMPUTED_VALUE"""),0)</f>
        <v>0</v>
      </c>
      <c r="O307" s="22">
        <f ca="1">IFERROR(__xludf.DUMMYFUNCTION("""COMPUTED_VALUE"""),62)</f>
        <v>62</v>
      </c>
      <c r="P307" s="22">
        <f ca="1">IFERROR(__xludf.DUMMYFUNCTION("""COMPUTED_VALUE"""),-5)</f>
        <v>-5</v>
      </c>
      <c r="Q307" s="23">
        <f ca="1">IFERROR(__xludf.DUMMYFUNCTION("""COMPUTED_VALUE"""),465)</f>
        <v>465</v>
      </c>
      <c r="R307" s="23">
        <f ca="1">IFERROR(__xludf.DUMMYFUNCTION("""COMPUTED_VALUE"""),5)</f>
        <v>5</v>
      </c>
      <c r="S307" s="24" t="str">
        <f ca="1">IFERROR(__xludf.DUMMYFUNCTION("""COMPUTED_VALUE"""),"Volt Absorb")</f>
        <v>Volt Absorb</v>
      </c>
      <c r="T307" s="24" t="str">
        <f ca="1">IFERROR(__xludf.DUMMYFUNCTION("""COMPUTED_VALUE"""),"Illuminate")</f>
        <v>Illuminate</v>
      </c>
      <c r="U307" s="24" t="str">
        <f ca="1">IFERROR(__xludf.DUMMYFUNCTION("""COMPUTED_VALUE"""),"Water Absorb")</f>
        <v>Water Absorb</v>
      </c>
      <c r="V307" s="25" t="str">
        <f ca="1">IFERROR(__xludf.DUMMYFUNCTION("""COMPUTED_VALUE"""),"Lv. 27")</f>
        <v>Lv. 27</v>
      </c>
      <c r="W307" s="25"/>
      <c r="X307" s="25" t="str">
        <f ca="1">IFERROR(__xludf.DUMMYFUNCTION("""COMPUTED_VALUE"""),"Deep Sea Scale")</f>
        <v>Deep Sea Scale</v>
      </c>
      <c r="Y307" s="25" t="str">
        <f ca="1">IFERROR(__xludf.DUMMYFUNCTION("""COMPUTED_VALUE"""),"Sea of Asteri, Sea of Vulcai (wild)")</f>
        <v>Sea of Asteri, Sea of Vulcai (wild)</v>
      </c>
    </row>
    <row r="308" spans="1:25" x14ac:dyDescent="0.25">
      <c r="A308" s="15" t="str">
        <f ca="1">IFERROR(__xludf.DUMMYFUNCTION("""COMPUTED_VALUE"""),"Shellder")</f>
        <v>Shellder</v>
      </c>
      <c r="B308" s="16">
        <f ca="1">IFERROR(__xludf.DUMMYFUNCTION("""COMPUTED_VALUE"""),307)</f>
        <v>307</v>
      </c>
      <c r="C308" s="3" t="str">
        <f ca="1">IFERROR(__xludf.DUMMYFUNCTION("""COMPUTED_VALUE"""),"Water")</f>
        <v>Water</v>
      </c>
      <c r="D308" s="3"/>
      <c r="E308" s="17">
        <f ca="1">IFERROR(__xludf.DUMMYFUNCTION("""COMPUTED_VALUE"""),30)</f>
        <v>30</v>
      </c>
      <c r="F308" s="17">
        <f ca="1">IFERROR(__xludf.DUMMYFUNCTION("""COMPUTED_VALUE"""),0)</f>
        <v>0</v>
      </c>
      <c r="G308" s="18">
        <f ca="1">IFERROR(__xludf.DUMMYFUNCTION("""COMPUTED_VALUE"""),65)</f>
        <v>65</v>
      </c>
      <c r="H308" s="18">
        <f ca="1">IFERROR(__xludf.DUMMYFUNCTION("""COMPUTED_VALUE"""),0)</f>
        <v>0</v>
      </c>
      <c r="I308" s="19">
        <f ca="1">IFERROR(__xludf.DUMMYFUNCTION("""COMPUTED_VALUE"""),100)</f>
        <v>100</v>
      </c>
      <c r="J308" s="19">
        <f ca="1">IFERROR(__xludf.DUMMYFUNCTION("""COMPUTED_VALUE"""),0)</f>
        <v>0</v>
      </c>
      <c r="K308" s="20">
        <f ca="1">IFERROR(__xludf.DUMMYFUNCTION("""COMPUTED_VALUE"""),45)</f>
        <v>45</v>
      </c>
      <c r="L308" s="20">
        <f ca="1">IFERROR(__xludf.DUMMYFUNCTION("""COMPUTED_VALUE"""),0)</f>
        <v>0</v>
      </c>
      <c r="M308" s="21">
        <f ca="1">IFERROR(__xludf.DUMMYFUNCTION("""COMPUTED_VALUE"""),25)</f>
        <v>25</v>
      </c>
      <c r="N308" s="21">
        <f ca="1">IFERROR(__xludf.DUMMYFUNCTION("""COMPUTED_VALUE"""),0)</f>
        <v>0</v>
      </c>
      <c r="O308" s="22">
        <f ca="1">IFERROR(__xludf.DUMMYFUNCTION("""COMPUTED_VALUE"""),40)</f>
        <v>40</v>
      </c>
      <c r="P308" s="22">
        <f ca="1">IFERROR(__xludf.DUMMYFUNCTION("""COMPUTED_VALUE"""),0)</f>
        <v>0</v>
      </c>
      <c r="Q308" s="23">
        <f ca="1">IFERROR(__xludf.DUMMYFUNCTION("""COMPUTED_VALUE"""),305)</f>
        <v>305</v>
      </c>
      <c r="R308" s="23">
        <f ca="1">IFERROR(__xludf.DUMMYFUNCTION("""COMPUTED_VALUE"""),0)</f>
        <v>0</v>
      </c>
      <c r="S308" s="24" t="str">
        <f ca="1">IFERROR(__xludf.DUMMYFUNCTION("""COMPUTED_VALUE"""),"Shell Armor")</f>
        <v>Shell Armor</v>
      </c>
      <c r="T308" s="24" t="str">
        <f ca="1">IFERROR(__xludf.DUMMYFUNCTION("""COMPUTED_VALUE"""),"Skill Link")</f>
        <v>Skill Link</v>
      </c>
      <c r="U308" s="24" t="str">
        <f ca="1">IFERROR(__xludf.DUMMYFUNCTION("""COMPUTED_VALUE"""),"Overcoat")</f>
        <v>Overcoat</v>
      </c>
      <c r="V308" s="25"/>
      <c r="W308" s="25" t="str">
        <f ca="1">IFERROR(__xludf.DUMMYFUNCTION("""COMPUTED_VALUE"""),"Pearl")</f>
        <v>Pearl</v>
      </c>
      <c r="X308" s="25" t="str">
        <f ca="1">IFERROR(__xludf.DUMMYFUNCTION("""COMPUTED_VALUE"""),"Big Pearl")</f>
        <v>Big Pearl</v>
      </c>
      <c r="Y308" s="25" t="str">
        <f ca="1">IFERROR(__xludf.DUMMYFUNCTION("""COMPUTED_VALUE"""),"Froslass Cavern, Port Pello, Palati City")</f>
        <v>Froslass Cavern, Port Pello, Palati City</v>
      </c>
    </row>
    <row r="309" spans="1:25" x14ac:dyDescent="0.25">
      <c r="A309" s="15" t="str">
        <f ca="1">IFERROR(__xludf.DUMMYFUNCTION("""COMPUTED_VALUE"""),"Cloyster")</f>
        <v>Cloyster</v>
      </c>
      <c r="B309" s="16">
        <f ca="1">IFERROR(__xludf.DUMMYFUNCTION("""COMPUTED_VALUE"""),308)</f>
        <v>308</v>
      </c>
      <c r="C309" s="3" t="str">
        <f ca="1">IFERROR(__xludf.DUMMYFUNCTION("""COMPUTED_VALUE"""),"Water")</f>
        <v>Water</v>
      </c>
      <c r="D309" s="3" t="str">
        <f ca="1">IFERROR(__xludf.DUMMYFUNCTION("""COMPUTED_VALUE"""),"Ice")</f>
        <v>Ice</v>
      </c>
      <c r="E309" s="17">
        <f ca="1">IFERROR(__xludf.DUMMYFUNCTION("""COMPUTED_VALUE"""),50)</f>
        <v>50</v>
      </c>
      <c r="F309" s="17">
        <f ca="1">IFERROR(__xludf.DUMMYFUNCTION("""COMPUTED_VALUE"""),0)</f>
        <v>0</v>
      </c>
      <c r="G309" s="18">
        <f ca="1">IFERROR(__xludf.DUMMYFUNCTION("""COMPUTED_VALUE"""),95)</f>
        <v>95</v>
      </c>
      <c r="H309" s="18">
        <f ca="1">IFERROR(__xludf.DUMMYFUNCTION("""COMPUTED_VALUE"""),0)</f>
        <v>0</v>
      </c>
      <c r="I309" s="19">
        <f ca="1">IFERROR(__xludf.DUMMYFUNCTION("""COMPUTED_VALUE"""),180)</f>
        <v>180</v>
      </c>
      <c r="J309" s="19">
        <f ca="1">IFERROR(__xludf.DUMMYFUNCTION("""COMPUTED_VALUE"""),0)</f>
        <v>0</v>
      </c>
      <c r="K309" s="20">
        <f ca="1">IFERROR(__xludf.DUMMYFUNCTION("""COMPUTED_VALUE"""),85)</f>
        <v>85</v>
      </c>
      <c r="L309" s="20">
        <f ca="1">IFERROR(__xludf.DUMMYFUNCTION("""COMPUTED_VALUE"""),0)</f>
        <v>0</v>
      </c>
      <c r="M309" s="21">
        <f ca="1">IFERROR(__xludf.DUMMYFUNCTION("""COMPUTED_VALUE"""),50)</f>
        <v>50</v>
      </c>
      <c r="N309" s="21">
        <f ca="1">IFERROR(__xludf.DUMMYFUNCTION("""COMPUTED_VALUE"""),5)</f>
        <v>5</v>
      </c>
      <c r="O309" s="22">
        <f ca="1">IFERROR(__xludf.DUMMYFUNCTION("""COMPUTED_VALUE"""),70)</f>
        <v>70</v>
      </c>
      <c r="P309" s="22">
        <f ca="1">IFERROR(__xludf.DUMMYFUNCTION("""COMPUTED_VALUE"""),0)</f>
        <v>0</v>
      </c>
      <c r="Q309" s="23">
        <f ca="1">IFERROR(__xludf.DUMMYFUNCTION("""COMPUTED_VALUE"""),530)</f>
        <v>530</v>
      </c>
      <c r="R309" s="23">
        <f ca="1">IFERROR(__xludf.DUMMYFUNCTION("""COMPUTED_VALUE"""),5)</f>
        <v>5</v>
      </c>
      <c r="S309" s="24" t="str">
        <f ca="1">IFERROR(__xludf.DUMMYFUNCTION("""COMPUTED_VALUE"""),"Shell Armor")</f>
        <v>Shell Armor</v>
      </c>
      <c r="T309" s="24" t="str">
        <f ca="1">IFERROR(__xludf.DUMMYFUNCTION("""COMPUTED_VALUE"""),"Skill Link")</f>
        <v>Skill Link</v>
      </c>
      <c r="U309" s="24" t="str">
        <f ca="1">IFERROR(__xludf.DUMMYFUNCTION("""COMPUTED_VALUE"""),"Overcoat")</f>
        <v>Overcoat</v>
      </c>
      <c r="V309" s="25" t="str">
        <f ca="1">IFERROR(__xludf.DUMMYFUNCTION("""COMPUTED_VALUE"""),"Water Stone")</f>
        <v>Water Stone</v>
      </c>
      <c r="W309" s="25" t="str">
        <f ca="1">IFERROR(__xludf.DUMMYFUNCTION("""COMPUTED_VALUE"""),"Pearl")</f>
        <v>Pearl</v>
      </c>
      <c r="X309" s="25" t="str">
        <f ca="1">IFERROR(__xludf.DUMMYFUNCTION("""COMPUTED_VALUE"""),"Big Pearl")</f>
        <v>Big Pearl</v>
      </c>
      <c r="Y309" s="25" t="str">
        <f ca="1">IFERROR(__xludf.DUMMYFUNCTION("""COMPUTED_VALUE"""),"Shellder (evolve)")</f>
        <v>Shellder (evolve)</v>
      </c>
    </row>
    <row r="310" spans="1:25" x14ac:dyDescent="0.25">
      <c r="A310" s="15" t="str">
        <f ca="1">IFERROR(__xludf.DUMMYFUNCTION("""COMPUTED_VALUE"""),"Clamperl")</f>
        <v>Clamperl</v>
      </c>
      <c r="B310" s="16">
        <f ca="1">IFERROR(__xludf.DUMMYFUNCTION("""COMPUTED_VALUE"""),309)</f>
        <v>309</v>
      </c>
      <c r="C310" s="3" t="str">
        <f ca="1">IFERROR(__xludf.DUMMYFUNCTION("""COMPUTED_VALUE"""),"Water")</f>
        <v>Water</v>
      </c>
      <c r="D310" s="3"/>
      <c r="E310" s="17">
        <f ca="1">IFERROR(__xludf.DUMMYFUNCTION("""COMPUTED_VALUE"""),35)</f>
        <v>35</v>
      </c>
      <c r="F310" s="17">
        <f ca="1">IFERROR(__xludf.DUMMYFUNCTION("""COMPUTED_VALUE"""),0)</f>
        <v>0</v>
      </c>
      <c r="G310" s="18">
        <f ca="1">IFERROR(__xludf.DUMMYFUNCTION("""COMPUTED_VALUE"""),64)</f>
        <v>64</v>
      </c>
      <c r="H310" s="18">
        <f ca="1">IFERROR(__xludf.DUMMYFUNCTION("""COMPUTED_VALUE"""),0)</f>
        <v>0</v>
      </c>
      <c r="I310" s="19">
        <f ca="1">IFERROR(__xludf.DUMMYFUNCTION("""COMPUTED_VALUE"""),85)</f>
        <v>85</v>
      </c>
      <c r="J310" s="19">
        <f ca="1">IFERROR(__xludf.DUMMYFUNCTION("""COMPUTED_VALUE"""),0)</f>
        <v>0</v>
      </c>
      <c r="K310" s="20">
        <f ca="1">IFERROR(__xludf.DUMMYFUNCTION("""COMPUTED_VALUE"""),74)</f>
        <v>74</v>
      </c>
      <c r="L310" s="20">
        <f ca="1">IFERROR(__xludf.DUMMYFUNCTION("""COMPUTED_VALUE"""),0)</f>
        <v>0</v>
      </c>
      <c r="M310" s="21">
        <f ca="1">IFERROR(__xludf.DUMMYFUNCTION("""COMPUTED_VALUE"""),55)</f>
        <v>55</v>
      </c>
      <c r="N310" s="21">
        <f ca="1">IFERROR(__xludf.DUMMYFUNCTION("""COMPUTED_VALUE"""),0)</f>
        <v>0</v>
      </c>
      <c r="O310" s="22">
        <f ca="1">IFERROR(__xludf.DUMMYFUNCTION("""COMPUTED_VALUE"""),32)</f>
        <v>32</v>
      </c>
      <c r="P310" s="22">
        <f ca="1">IFERROR(__xludf.DUMMYFUNCTION("""COMPUTED_VALUE"""),0)</f>
        <v>0</v>
      </c>
      <c r="Q310" s="23">
        <f ca="1">IFERROR(__xludf.DUMMYFUNCTION("""COMPUTED_VALUE"""),345)</f>
        <v>345</v>
      </c>
      <c r="R310" s="23">
        <f ca="1">IFERROR(__xludf.DUMMYFUNCTION("""COMPUTED_VALUE"""),0)</f>
        <v>0</v>
      </c>
      <c r="S310" s="24" t="str">
        <f ca="1">IFERROR(__xludf.DUMMYFUNCTION("""COMPUTED_VALUE"""),"Shell Armor")</f>
        <v>Shell Armor</v>
      </c>
      <c r="T310" s="25"/>
      <c r="U310" s="24" t="str">
        <f ca="1">IFERROR(__xludf.DUMMYFUNCTION("""COMPUTED_VALUE"""),"Rattled")</f>
        <v>Rattled</v>
      </c>
      <c r="V310" s="25"/>
      <c r="W310" s="25" t="str">
        <f ca="1">IFERROR(__xludf.DUMMYFUNCTION("""COMPUTED_VALUE"""),"Pearl")</f>
        <v>Pearl</v>
      </c>
      <c r="X310" s="25" t="str">
        <f ca="1">IFERROR(__xludf.DUMMYFUNCTION("""COMPUTED_VALUE"""),"Big Pearl")</f>
        <v>Big Pearl</v>
      </c>
      <c r="Y310" s="25" t="str">
        <f ca="1">IFERROR(__xludf.DUMMYFUNCTION("""COMPUTED_VALUE"""),"Pythios Cemetery (GR)(fish) Port Pello, Sea of Asteri, Sea of Vulcai, Fresco Isles, Palati City")</f>
        <v>Pythios Cemetery (GR)(fish) Port Pello, Sea of Asteri, Sea of Vulcai, Fresco Isles, Palati City</v>
      </c>
    </row>
    <row r="311" spans="1:25" x14ac:dyDescent="0.25">
      <c r="A311" s="15" t="str">
        <f ca="1">IFERROR(__xludf.DUMMYFUNCTION("""COMPUTED_VALUE"""),"Huntail")</f>
        <v>Huntail</v>
      </c>
      <c r="B311" s="16">
        <f ca="1">IFERROR(__xludf.DUMMYFUNCTION("""COMPUTED_VALUE"""),310)</f>
        <v>310</v>
      </c>
      <c r="C311" s="3" t="str">
        <f ca="1">IFERROR(__xludf.DUMMYFUNCTION("""COMPUTED_VALUE"""),"Water")</f>
        <v>Water</v>
      </c>
      <c r="D311" s="3" t="str">
        <f ca="1">IFERROR(__xludf.DUMMYFUNCTION("""COMPUTED_VALUE"""),"Dragon")</f>
        <v>Dragon</v>
      </c>
      <c r="E311" s="17">
        <f ca="1">IFERROR(__xludf.DUMMYFUNCTION("""COMPUTED_VALUE"""),55)</f>
        <v>55</v>
      </c>
      <c r="F311" s="17">
        <f ca="1">IFERROR(__xludf.DUMMYFUNCTION("""COMPUTED_VALUE"""),0)</f>
        <v>0</v>
      </c>
      <c r="G311" s="18">
        <f ca="1">IFERROR(__xludf.DUMMYFUNCTION("""COMPUTED_VALUE"""),119)</f>
        <v>119</v>
      </c>
      <c r="H311" s="18">
        <f ca="1">IFERROR(__xludf.DUMMYFUNCTION("""COMPUTED_VALUE"""),15)</f>
        <v>15</v>
      </c>
      <c r="I311" s="19">
        <f ca="1">IFERROR(__xludf.DUMMYFUNCTION("""COMPUTED_VALUE"""),105)</f>
        <v>105</v>
      </c>
      <c r="J311" s="19">
        <f ca="1">IFERROR(__xludf.DUMMYFUNCTION("""COMPUTED_VALUE"""),0)</f>
        <v>0</v>
      </c>
      <c r="K311" s="20">
        <f ca="1">IFERROR(__xludf.DUMMYFUNCTION("""COMPUTED_VALUE"""),94)</f>
        <v>94</v>
      </c>
      <c r="L311" s="20">
        <f ca="1">IFERROR(__xludf.DUMMYFUNCTION("""COMPUTED_VALUE"""),0)</f>
        <v>0</v>
      </c>
      <c r="M311" s="21">
        <f ca="1">IFERROR(__xludf.DUMMYFUNCTION("""COMPUTED_VALUE"""),75)</f>
        <v>75</v>
      </c>
      <c r="N311" s="21">
        <f ca="1">IFERROR(__xludf.DUMMYFUNCTION("""COMPUTED_VALUE"""),0)</f>
        <v>0</v>
      </c>
      <c r="O311" s="22">
        <f ca="1">IFERROR(__xludf.DUMMYFUNCTION("""COMPUTED_VALUE"""),57)</f>
        <v>57</v>
      </c>
      <c r="P311" s="22">
        <f ca="1">IFERROR(__xludf.DUMMYFUNCTION("""COMPUTED_VALUE"""),5)</f>
        <v>5</v>
      </c>
      <c r="Q311" s="23">
        <f ca="1">IFERROR(__xludf.DUMMYFUNCTION("""COMPUTED_VALUE"""),505)</f>
        <v>505</v>
      </c>
      <c r="R311" s="23">
        <f ca="1">IFERROR(__xludf.DUMMYFUNCTION("""COMPUTED_VALUE"""),20)</f>
        <v>20</v>
      </c>
      <c r="S311" s="24" t="str">
        <f ca="1">IFERROR(__xludf.DUMMYFUNCTION("""COMPUTED_VALUE"""),"Intimidate")</f>
        <v>Intimidate</v>
      </c>
      <c r="T311" s="25"/>
      <c r="U311" s="24" t="str">
        <f ca="1">IFERROR(__xludf.DUMMYFUNCTION("""COMPUTED_VALUE"""),"Water Veil")</f>
        <v>Water Veil</v>
      </c>
      <c r="V311" s="25" t="str">
        <f ca="1">IFERROR(__xludf.DUMMYFUNCTION("""COMPUTED_VALUE"""),"Deep Sea Tooth")</f>
        <v>Deep Sea Tooth</v>
      </c>
      <c r="W311" s="25"/>
      <c r="X311" s="25" t="str">
        <f ca="1">IFERROR(__xludf.DUMMYFUNCTION("""COMPUTED_VALUE"""),"Deep Sea Tooth")</f>
        <v>Deep Sea Tooth</v>
      </c>
      <c r="Y311" s="25" t="str">
        <f ca="1">IFERROR(__xludf.DUMMYFUNCTION("""COMPUTED_VALUE"""),"Clamperl (evolve)")</f>
        <v>Clamperl (evolve)</v>
      </c>
    </row>
    <row r="312" spans="1:25" x14ac:dyDescent="0.25">
      <c r="A312" s="15" t="str">
        <f ca="1">IFERROR(__xludf.DUMMYFUNCTION("""COMPUTED_VALUE"""),"Gorebyss")</f>
        <v>Gorebyss</v>
      </c>
      <c r="B312" s="16">
        <f ca="1">IFERROR(__xludf.DUMMYFUNCTION("""COMPUTED_VALUE"""),311)</f>
        <v>311</v>
      </c>
      <c r="C312" s="3" t="str">
        <f ca="1">IFERROR(__xludf.DUMMYFUNCTION("""COMPUTED_VALUE"""),"Water")</f>
        <v>Water</v>
      </c>
      <c r="D312" s="3" t="str">
        <f ca="1">IFERROR(__xludf.DUMMYFUNCTION("""COMPUTED_VALUE"""),"Fairy")</f>
        <v>Fairy</v>
      </c>
      <c r="E312" s="17">
        <f ca="1">IFERROR(__xludf.DUMMYFUNCTION("""COMPUTED_VALUE"""),75)</f>
        <v>75</v>
      </c>
      <c r="F312" s="17">
        <f ca="1">IFERROR(__xludf.DUMMYFUNCTION("""COMPUTED_VALUE"""),20)</f>
        <v>20</v>
      </c>
      <c r="G312" s="18">
        <f ca="1">IFERROR(__xludf.DUMMYFUNCTION("""COMPUTED_VALUE"""),74)</f>
        <v>74</v>
      </c>
      <c r="H312" s="18">
        <f ca="1">IFERROR(__xludf.DUMMYFUNCTION("""COMPUTED_VALUE"""),-10)</f>
        <v>-10</v>
      </c>
      <c r="I312" s="19">
        <f ca="1">IFERROR(__xludf.DUMMYFUNCTION("""COMPUTED_VALUE"""),105)</f>
        <v>105</v>
      </c>
      <c r="J312" s="19">
        <f ca="1">IFERROR(__xludf.DUMMYFUNCTION("""COMPUTED_VALUE"""),0)</f>
        <v>0</v>
      </c>
      <c r="K312" s="20">
        <f ca="1">IFERROR(__xludf.DUMMYFUNCTION("""COMPUTED_VALUE"""),114)</f>
        <v>114</v>
      </c>
      <c r="L312" s="20">
        <f ca="1">IFERROR(__xludf.DUMMYFUNCTION("""COMPUTED_VALUE"""),0)</f>
        <v>0</v>
      </c>
      <c r="M312" s="21">
        <f ca="1">IFERROR(__xludf.DUMMYFUNCTION("""COMPUTED_VALUE"""),85)</f>
        <v>85</v>
      </c>
      <c r="N312" s="21">
        <f ca="1">IFERROR(__xludf.DUMMYFUNCTION("""COMPUTED_VALUE"""),10)</f>
        <v>10</v>
      </c>
      <c r="O312" s="22">
        <f ca="1">IFERROR(__xludf.DUMMYFUNCTION("""COMPUTED_VALUE"""),52)</f>
        <v>52</v>
      </c>
      <c r="P312" s="22">
        <f ca="1">IFERROR(__xludf.DUMMYFUNCTION("""COMPUTED_VALUE"""),0)</f>
        <v>0</v>
      </c>
      <c r="Q312" s="23">
        <f ca="1">IFERROR(__xludf.DUMMYFUNCTION("""COMPUTED_VALUE"""),505)</f>
        <v>505</v>
      </c>
      <c r="R312" s="23">
        <f ca="1">IFERROR(__xludf.DUMMYFUNCTION("""COMPUTED_VALUE"""),20)</f>
        <v>20</v>
      </c>
      <c r="S312" s="24" t="str">
        <f ca="1">IFERROR(__xludf.DUMMYFUNCTION("""COMPUTED_VALUE"""),"Regenerator")</f>
        <v>Regenerator</v>
      </c>
      <c r="T312" s="25"/>
      <c r="U312" s="24" t="str">
        <f ca="1">IFERROR(__xludf.DUMMYFUNCTION("""COMPUTED_VALUE"""),"Hydration")</f>
        <v>Hydration</v>
      </c>
      <c r="V312" s="25" t="str">
        <f ca="1">IFERROR(__xludf.DUMMYFUNCTION("""COMPUTED_VALUE"""),"Deep Sea Scale")</f>
        <v>Deep Sea Scale</v>
      </c>
      <c r="W312" s="25"/>
      <c r="X312" s="25" t="str">
        <f ca="1">IFERROR(__xludf.DUMMYFUNCTION("""COMPUTED_VALUE"""),"Deep Sea Scale")</f>
        <v>Deep Sea Scale</v>
      </c>
      <c r="Y312" s="25" t="str">
        <f ca="1">IFERROR(__xludf.DUMMYFUNCTION("""COMPUTED_VALUE"""),"Clamperl (evolve)")</f>
        <v>Clamperl (evolve)</v>
      </c>
    </row>
    <row r="313" spans="1:25" x14ac:dyDescent="0.25">
      <c r="A313" s="15" t="str">
        <f ca="1">IFERROR(__xludf.DUMMYFUNCTION("""COMPUTED_VALUE"""),"Flabébé")</f>
        <v>Flabébé</v>
      </c>
      <c r="B313" s="16">
        <f ca="1">IFERROR(__xludf.DUMMYFUNCTION("""COMPUTED_VALUE"""),312)</f>
        <v>312</v>
      </c>
      <c r="C313" s="3" t="str">
        <f ca="1">IFERROR(__xludf.DUMMYFUNCTION("""COMPUTED_VALUE"""),"Fairy")</f>
        <v>Fairy</v>
      </c>
      <c r="D313" s="3"/>
      <c r="E313" s="17">
        <f ca="1">IFERROR(__xludf.DUMMYFUNCTION("""COMPUTED_VALUE"""),44)</f>
        <v>44</v>
      </c>
      <c r="F313" s="17">
        <f ca="1">IFERROR(__xludf.DUMMYFUNCTION("""COMPUTED_VALUE"""),0)</f>
        <v>0</v>
      </c>
      <c r="G313" s="18">
        <f ca="1">IFERROR(__xludf.DUMMYFUNCTION("""COMPUTED_VALUE"""),38)</f>
        <v>38</v>
      </c>
      <c r="H313" s="18">
        <f ca="1">IFERROR(__xludf.DUMMYFUNCTION("""COMPUTED_VALUE"""),0)</f>
        <v>0</v>
      </c>
      <c r="I313" s="19">
        <f ca="1">IFERROR(__xludf.DUMMYFUNCTION("""COMPUTED_VALUE"""),39)</f>
        <v>39</v>
      </c>
      <c r="J313" s="19">
        <f ca="1">IFERROR(__xludf.DUMMYFUNCTION("""COMPUTED_VALUE"""),0)</f>
        <v>0</v>
      </c>
      <c r="K313" s="20">
        <f ca="1">IFERROR(__xludf.DUMMYFUNCTION("""COMPUTED_VALUE"""),61)</f>
        <v>61</v>
      </c>
      <c r="L313" s="20">
        <f ca="1">IFERROR(__xludf.DUMMYFUNCTION("""COMPUTED_VALUE"""),0)</f>
        <v>0</v>
      </c>
      <c r="M313" s="21">
        <f ca="1">IFERROR(__xludf.DUMMYFUNCTION("""COMPUTED_VALUE"""),79)</f>
        <v>79</v>
      </c>
      <c r="N313" s="21">
        <f ca="1">IFERROR(__xludf.DUMMYFUNCTION("""COMPUTED_VALUE"""),0)</f>
        <v>0</v>
      </c>
      <c r="O313" s="22">
        <f ca="1">IFERROR(__xludf.DUMMYFUNCTION("""COMPUTED_VALUE"""),42)</f>
        <v>42</v>
      </c>
      <c r="P313" s="22">
        <f ca="1">IFERROR(__xludf.DUMMYFUNCTION("""COMPUTED_VALUE"""),0)</f>
        <v>0</v>
      </c>
      <c r="Q313" s="23">
        <f ca="1">IFERROR(__xludf.DUMMYFUNCTION("""COMPUTED_VALUE"""),303)</f>
        <v>303</v>
      </c>
      <c r="R313" s="23">
        <f ca="1">IFERROR(__xludf.DUMMYFUNCTION("""COMPUTED_VALUE"""),0)</f>
        <v>0</v>
      </c>
      <c r="S313" s="24" t="str">
        <f ca="1">IFERROR(__xludf.DUMMYFUNCTION("""COMPUTED_VALUE"""),"Flower Veil")</f>
        <v>Flower Veil</v>
      </c>
      <c r="T313" s="25"/>
      <c r="U313" s="24" t="str">
        <f ca="1">IFERROR(__xludf.DUMMYFUNCTION("""COMPUTED_VALUE"""),"Symbiosis")</f>
        <v>Symbiosis</v>
      </c>
      <c r="V313" s="25"/>
      <c r="W313" s="25"/>
      <c r="X313" s="25"/>
      <c r="Y313" s="25" t="str">
        <f ca="1">IFERROR(__xludf.DUMMYFUNCTION("""COMPUTED_VALUE"""),"Acrisia Mountains Peak (wild)")</f>
        <v>Acrisia Mountains Peak (wild)</v>
      </c>
    </row>
    <row r="314" spans="1:25" x14ac:dyDescent="0.25">
      <c r="A314" s="15" t="str">
        <f ca="1">IFERROR(__xludf.DUMMYFUNCTION("""COMPUTED_VALUE"""),"Floette")</f>
        <v>Floette</v>
      </c>
      <c r="B314" s="16">
        <f ca="1">IFERROR(__xludf.DUMMYFUNCTION("""COMPUTED_VALUE"""),313)</f>
        <v>313</v>
      </c>
      <c r="C314" s="3" t="str">
        <f ca="1">IFERROR(__xludf.DUMMYFUNCTION("""COMPUTED_VALUE"""),"Fairy")</f>
        <v>Fairy</v>
      </c>
      <c r="D314" s="3"/>
      <c r="E314" s="17">
        <f ca="1">IFERROR(__xludf.DUMMYFUNCTION("""COMPUTED_VALUE"""),54)</f>
        <v>54</v>
      </c>
      <c r="F314" s="17">
        <f ca="1">IFERROR(__xludf.DUMMYFUNCTION("""COMPUTED_VALUE"""),0)</f>
        <v>0</v>
      </c>
      <c r="G314" s="18">
        <f ca="1">IFERROR(__xludf.DUMMYFUNCTION("""COMPUTED_VALUE"""),45)</f>
        <v>45</v>
      </c>
      <c r="H314" s="18">
        <f ca="1">IFERROR(__xludf.DUMMYFUNCTION("""COMPUTED_VALUE"""),0)</f>
        <v>0</v>
      </c>
      <c r="I314" s="19">
        <f ca="1">IFERROR(__xludf.DUMMYFUNCTION("""COMPUTED_VALUE"""),47)</f>
        <v>47</v>
      </c>
      <c r="J314" s="19">
        <f ca="1">IFERROR(__xludf.DUMMYFUNCTION("""COMPUTED_VALUE"""),0)</f>
        <v>0</v>
      </c>
      <c r="K314" s="20">
        <f ca="1">IFERROR(__xludf.DUMMYFUNCTION("""COMPUTED_VALUE"""),75)</f>
        <v>75</v>
      </c>
      <c r="L314" s="20">
        <f ca="1">IFERROR(__xludf.DUMMYFUNCTION("""COMPUTED_VALUE"""),0)</f>
        <v>0</v>
      </c>
      <c r="M314" s="21">
        <f ca="1">IFERROR(__xludf.DUMMYFUNCTION("""COMPUTED_VALUE"""),98)</f>
        <v>98</v>
      </c>
      <c r="N314" s="21">
        <f ca="1">IFERROR(__xludf.DUMMYFUNCTION("""COMPUTED_VALUE"""),0)</f>
        <v>0</v>
      </c>
      <c r="O314" s="22">
        <f ca="1">IFERROR(__xludf.DUMMYFUNCTION("""COMPUTED_VALUE"""),52)</f>
        <v>52</v>
      </c>
      <c r="P314" s="22">
        <f ca="1">IFERROR(__xludf.DUMMYFUNCTION("""COMPUTED_VALUE"""),0)</f>
        <v>0</v>
      </c>
      <c r="Q314" s="23">
        <f ca="1">IFERROR(__xludf.DUMMYFUNCTION("""COMPUTED_VALUE"""),371)</f>
        <v>371</v>
      </c>
      <c r="R314" s="23">
        <f ca="1">IFERROR(__xludf.DUMMYFUNCTION("""COMPUTED_VALUE"""),0)</f>
        <v>0</v>
      </c>
      <c r="S314" s="24" t="str">
        <f ca="1">IFERROR(__xludf.DUMMYFUNCTION("""COMPUTED_VALUE"""),"Flower Veil")</f>
        <v>Flower Veil</v>
      </c>
      <c r="T314" s="25"/>
      <c r="U314" s="24" t="str">
        <f ca="1">IFERROR(__xludf.DUMMYFUNCTION("""COMPUTED_VALUE"""),"Symbiosis")</f>
        <v>Symbiosis</v>
      </c>
      <c r="V314" s="25" t="str">
        <f ca="1">IFERROR(__xludf.DUMMYFUNCTION("""COMPUTED_VALUE"""),"Lv. 19")</f>
        <v>Lv. 19</v>
      </c>
      <c r="W314" s="25"/>
      <c r="X314" s="25"/>
      <c r="Y314" s="25" t="str">
        <f ca="1">IFERROR(__xludf.DUMMYFUNCTION("""COMPUTED_VALUE"""),"Port Pello (wild)")</f>
        <v>Port Pello (wild)</v>
      </c>
    </row>
    <row r="315" spans="1:25" x14ac:dyDescent="0.25">
      <c r="A315" s="15" t="str">
        <f ca="1">IFERROR(__xludf.DUMMYFUNCTION("""COMPUTED_VALUE"""),"Florges")</f>
        <v>Florges</v>
      </c>
      <c r="B315" s="16">
        <f ca="1">IFERROR(__xludf.DUMMYFUNCTION("""COMPUTED_VALUE"""),314)</f>
        <v>314</v>
      </c>
      <c r="C315" s="3" t="str">
        <f ca="1">IFERROR(__xludf.DUMMYFUNCTION("""COMPUTED_VALUE"""),"Fairy")</f>
        <v>Fairy</v>
      </c>
      <c r="D315" s="3"/>
      <c r="E315" s="17">
        <f ca="1">IFERROR(__xludf.DUMMYFUNCTION("""COMPUTED_VALUE"""),78)</f>
        <v>78</v>
      </c>
      <c r="F315" s="17">
        <f ca="1">IFERROR(__xludf.DUMMYFUNCTION("""COMPUTED_VALUE"""),0)</f>
        <v>0</v>
      </c>
      <c r="G315" s="18">
        <f ca="1">IFERROR(__xludf.DUMMYFUNCTION("""COMPUTED_VALUE"""),65)</f>
        <v>65</v>
      </c>
      <c r="H315" s="18">
        <f ca="1">IFERROR(__xludf.DUMMYFUNCTION("""COMPUTED_VALUE"""),0)</f>
        <v>0</v>
      </c>
      <c r="I315" s="19">
        <f ca="1">IFERROR(__xludf.DUMMYFUNCTION("""COMPUTED_VALUE"""),68)</f>
        <v>68</v>
      </c>
      <c r="J315" s="19">
        <f ca="1">IFERROR(__xludf.DUMMYFUNCTION("""COMPUTED_VALUE"""),0)</f>
        <v>0</v>
      </c>
      <c r="K315" s="20">
        <f ca="1">IFERROR(__xludf.DUMMYFUNCTION("""COMPUTED_VALUE"""),112)</f>
        <v>112</v>
      </c>
      <c r="L315" s="20">
        <f ca="1">IFERROR(__xludf.DUMMYFUNCTION("""COMPUTED_VALUE"""),0)</f>
        <v>0</v>
      </c>
      <c r="M315" s="21">
        <f ca="1">IFERROR(__xludf.DUMMYFUNCTION("""COMPUTED_VALUE"""),154)</f>
        <v>154</v>
      </c>
      <c r="N315" s="21">
        <f ca="1">IFERROR(__xludf.DUMMYFUNCTION("""COMPUTED_VALUE"""),0)</f>
        <v>0</v>
      </c>
      <c r="O315" s="22">
        <f ca="1">IFERROR(__xludf.DUMMYFUNCTION("""COMPUTED_VALUE"""),75)</f>
        <v>75</v>
      </c>
      <c r="P315" s="22">
        <f ca="1">IFERROR(__xludf.DUMMYFUNCTION("""COMPUTED_VALUE"""),0)</f>
        <v>0</v>
      </c>
      <c r="Q315" s="23">
        <f ca="1">IFERROR(__xludf.DUMMYFUNCTION("""COMPUTED_VALUE"""),552)</f>
        <v>552</v>
      </c>
      <c r="R315" s="23">
        <f ca="1">IFERROR(__xludf.DUMMYFUNCTION("""COMPUTED_VALUE"""),0)</f>
        <v>0</v>
      </c>
      <c r="S315" s="24" t="str">
        <f ca="1">IFERROR(__xludf.DUMMYFUNCTION("""COMPUTED_VALUE"""),"Flower Veil")</f>
        <v>Flower Veil</v>
      </c>
      <c r="T315" s="25"/>
      <c r="U315" s="24" t="str">
        <f ca="1">IFERROR(__xludf.DUMMYFUNCTION("""COMPUTED_VALUE"""),"Symbiosis")</f>
        <v>Symbiosis</v>
      </c>
      <c r="V315" s="25" t="str">
        <f ca="1">IFERROR(__xludf.DUMMYFUNCTION("""COMPUTED_VALUE"""),"Shiny Stone")</f>
        <v>Shiny Stone</v>
      </c>
      <c r="W315" s="25"/>
      <c r="X315" s="25"/>
      <c r="Y315" s="25" t="str">
        <f ca="1">IFERROR(__xludf.DUMMYFUNCTION("""COMPUTED_VALUE"""),"Floette (evolve)")</f>
        <v>Floette (evolve)</v>
      </c>
    </row>
    <row r="316" spans="1:25" x14ac:dyDescent="0.25">
      <c r="A316" s="15" t="str">
        <f ca="1">IFERROR(__xludf.DUMMYFUNCTION("""COMPUTED_VALUE"""),"Igglybuff")</f>
        <v>Igglybuff</v>
      </c>
      <c r="B316" s="16">
        <f ca="1">IFERROR(__xludf.DUMMYFUNCTION("""COMPUTED_VALUE"""),315)</f>
        <v>315</v>
      </c>
      <c r="C316" s="3" t="str">
        <f ca="1">IFERROR(__xludf.DUMMYFUNCTION("""COMPUTED_VALUE"""),"Normal")</f>
        <v>Normal</v>
      </c>
      <c r="D316" s="3" t="str">
        <f ca="1">IFERROR(__xludf.DUMMYFUNCTION("""COMPUTED_VALUE"""),"Fairy")</f>
        <v>Fairy</v>
      </c>
      <c r="E316" s="17">
        <f ca="1">IFERROR(__xludf.DUMMYFUNCTION("""COMPUTED_VALUE"""),90)</f>
        <v>90</v>
      </c>
      <c r="F316" s="17">
        <f ca="1">IFERROR(__xludf.DUMMYFUNCTION("""COMPUTED_VALUE"""),0)</f>
        <v>0</v>
      </c>
      <c r="G316" s="18">
        <f ca="1">IFERROR(__xludf.DUMMYFUNCTION("""COMPUTED_VALUE"""),30)</f>
        <v>30</v>
      </c>
      <c r="H316" s="18">
        <f ca="1">IFERROR(__xludf.DUMMYFUNCTION("""COMPUTED_VALUE"""),0)</f>
        <v>0</v>
      </c>
      <c r="I316" s="19">
        <f ca="1">IFERROR(__xludf.DUMMYFUNCTION("""COMPUTED_VALUE"""),20)</f>
        <v>20</v>
      </c>
      <c r="J316" s="19">
        <f ca="1">IFERROR(__xludf.DUMMYFUNCTION("""COMPUTED_VALUE"""),5)</f>
        <v>5</v>
      </c>
      <c r="K316" s="20">
        <f ca="1">IFERROR(__xludf.DUMMYFUNCTION("""COMPUTED_VALUE"""),40)</f>
        <v>40</v>
      </c>
      <c r="L316" s="20">
        <f ca="1">IFERROR(__xludf.DUMMYFUNCTION("""COMPUTED_VALUE"""),0)</f>
        <v>0</v>
      </c>
      <c r="M316" s="21">
        <f ca="1">IFERROR(__xludf.DUMMYFUNCTION("""COMPUTED_VALUE"""),20)</f>
        <v>20</v>
      </c>
      <c r="N316" s="21">
        <f ca="1">IFERROR(__xludf.DUMMYFUNCTION("""COMPUTED_VALUE"""),0)</f>
        <v>0</v>
      </c>
      <c r="O316" s="22">
        <f ca="1">IFERROR(__xludf.DUMMYFUNCTION("""COMPUTED_VALUE"""),15)</f>
        <v>15</v>
      </c>
      <c r="P316" s="22">
        <f ca="1">IFERROR(__xludf.DUMMYFUNCTION("""COMPUTED_VALUE"""),0)</f>
        <v>0</v>
      </c>
      <c r="Q316" s="23">
        <f ca="1">IFERROR(__xludf.DUMMYFUNCTION("""COMPUTED_VALUE"""),215)</f>
        <v>215</v>
      </c>
      <c r="R316" s="23">
        <f ca="1">IFERROR(__xludf.DUMMYFUNCTION("""COMPUTED_VALUE"""),5)</f>
        <v>5</v>
      </c>
      <c r="S316" s="24" t="str">
        <f ca="1">IFERROR(__xludf.DUMMYFUNCTION("""COMPUTED_VALUE"""),"Cute Charm")</f>
        <v>Cute Charm</v>
      </c>
      <c r="T316" s="24" t="str">
        <f ca="1">IFERROR(__xludf.DUMMYFUNCTION("""COMPUTED_VALUE"""),"Competitive")</f>
        <v>Competitive</v>
      </c>
      <c r="U316" s="24" t="str">
        <f ca="1">IFERROR(__xludf.DUMMYFUNCTION("""COMPUTED_VALUE"""),"Huge Power")</f>
        <v>Huge Power</v>
      </c>
      <c r="V316" s="25"/>
      <c r="W316" s="25"/>
      <c r="X316" s="25"/>
      <c r="Y316" s="25" t="str">
        <f ca="1">IFERROR(__xludf.DUMMYFUNCTION("""COMPUTED_VALUE"""),"?")</f>
        <v>?</v>
      </c>
    </row>
    <row r="317" spans="1:25" x14ac:dyDescent="0.25">
      <c r="A317" s="15" t="str">
        <f ca="1">IFERROR(__xludf.DUMMYFUNCTION("""COMPUTED_VALUE"""),"Jigglypuff")</f>
        <v>Jigglypuff</v>
      </c>
      <c r="B317" s="16">
        <f ca="1">IFERROR(__xludf.DUMMYFUNCTION("""COMPUTED_VALUE"""),316)</f>
        <v>316</v>
      </c>
      <c r="C317" s="3" t="str">
        <f ca="1">IFERROR(__xludf.DUMMYFUNCTION("""COMPUTED_VALUE"""),"Normal")</f>
        <v>Normal</v>
      </c>
      <c r="D317" s="3" t="str">
        <f ca="1">IFERROR(__xludf.DUMMYFUNCTION("""COMPUTED_VALUE"""),"Fairy")</f>
        <v>Fairy</v>
      </c>
      <c r="E317" s="17">
        <f ca="1">IFERROR(__xludf.DUMMYFUNCTION("""COMPUTED_VALUE"""),115)</f>
        <v>115</v>
      </c>
      <c r="F317" s="17">
        <f ca="1">IFERROR(__xludf.DUMMYFUNCTION("""COMPUTED_VALUE"""),0)</f>
        <v>0</v>
      </c>
      <c r="G317" s="18">
        <f ca="1">IFERROR(__xludf.DUMMYFUNCTION("""COMPUTED_VALUE"""),45)</f>
        <v>45</v>
      </c>
      <c r="H317" s="18">
        <f ca="1">IFERROR(__xludf.DUMMYFUNCTION("""COMPUTED_VALUE"""),0)</f>
        <v>0</v>
      </c>
      <c r="I317" s="19">
        <f ca="1">IFERROR(__xludf.DUMMYFUNCTION("""COMPUTED_VALUE"""),25)</f>
        <v>25</v>
      </c>
      <c r="J317" s="19">
        <f ca="1">IFERROR(__xludf.DUMMYFUNCTION("""COMPUTED_VALUE"""),5)</f>
        <v>5</v>
      </c>
      <c r="K317" s="20">
        <f ca="1">IFERROR(__xludf.DUMMYFUNCTION("""COMPUTED_VALUE"""),45)</f>
        <v>45</v>
      </c>
      <c r="L317" s="20">
        <f ca="1">IFERROR(__xludf.DUMMYFUNCTION("""COMPUTED_VALUE"""),0)</f>
        <v>0</v>
      </c>
      <c r="M317" s="21">
        <f ca="1">IFERROR(__xludf.DUMMYFUNCTION("""COMPUTED_VALUE"""),25)</f>
        <v>25</v>
      </c>
      <c r="N317" s="21">
        <f ca="1">IFERROR(__xludf.DUMMYFUNCTION("""COMPUTED_VALUE"""),0)</f>
        <v>0</v>
      </c>
      <c r="O317" s="22">
        <f ca="1">IFERROR(__xludf.DUMMYFUNCTION("""COMPUTED_VALUE"""),20)</f>
        <v>20</v>
      </c>
      <c r="P317" s="22">
        <f ca="1">IFERROR(__xludf.DUMMYFUNCTION("""COMPUTED_VALUE"""),0)</f>
        <v>0</v>
      </c>
      <c r="Q317" s="23">
        <f ca="1">IFERROR(__xludf.DUMMYFUNCTION("""COMPUTED_VALUE"""),275)</f>
        <v>275</v>
      </c>
      <c r="R317" s="23">
        <f ca="1">IFERROR(__xludf.DUMMYFUNCTION("""COMPUTED_VALUE"""),5)</f>
        <v>5</v>
      </c>
      <c r="S317" s="24" t="str">
        <f ca="1">IFERROR(__xludf.DUMMYFUNCTION("""COMPUTED_VALUE"""),"Cute Charm")</f>
        <v>Cute Charm</v>
      </c>
      <c r="T317" s="24" t="str">
        <f ca="1">IFERROR(__xludf.DUMMYFUNCTION("""COMPUTED_VALUE"""),"Competitive")</f>
        <v>Competitive</v>
      </c>
      <c r="U317" s="24" t="str">
        <f ca="1">IFERROR(__xludf.DUMMYFUNCTION("""COMPUTED_VALUE"""),"Huge Power")</f>
        <v>Huge Power</v>
      </c>
      <c r="V317" s="25" t="str">
        <f ca="1">IFERROR(__xludf.DUMMYFUNCTION("""COMPUTED_VALUE"""),"Lv. 12")</f>
        <v>Lv. 12</v>
      </c>
      <c r="W317" s="25"/>
      <c r="X317" s="25" t="str">
        <f ca="1">IFERROR(__xludf.DUMMYFUNCTION("""COMPUTED_VALUE"""),"Moon Stone")</f>
        <v>Moon Stone</v>
      </c>
      <c r="Y317" s="25" t="str">
        <f ca="1">IFERROR(__xludf.DUMMYFUNCTION("""COMPUTED_VALUE"""),"Port Pello, Myrrini Island (wild)")</f>
        <v>Port Pello, Myrrini Island (wild)</v>
      </c>
    </row>
    <row r="318" spans="1:25" x14ac:dyDescent="0.25">
      <c r="A318" s="15" t="str">
        <f ca="1">IFERROR(__xludf.DUMMYFUNCTION("""COMPUTED_VALUE"""),"Wigglytuff")</f>
        <v>Wigglytuff</v>
      </c>
      <c r="B318" s="16">
        <f ca="1">IFERROR(__xludf.DUMMYFUNCTION("""COMPUTED_VALUE"""),317)</f>
        <v>317</v>
      </c>
      <c r="C318" s="3" t="str">
        <f ca="1">IFERROR(__xludf.DUMMYFUNCTION("""COMPUTED_VALUE"""),"Normal")</f>
        <v>Normal</v>
      </c>
      <c r="D318" s="3" t="str">
        <f ca="1">IFERROR(__xludf.DUMMYFUNCTION("""COMPUTED_VALUE"""),"Fairy")</f>
        <v>Fairy</v>
      </c>
      <c r="E318" s="17">
        <f ca="1">IFERROR(__xludf.DUMMYFUNCTION("""COMPUTED_VALUE"""),140)</f>
        <v>140</v>
      </c>
      <c r="F318" s="17">
        <f ca="1">IFERROR(__xludf.DUMMYFUNCTION("""COMPUTED_VALUE"""),0)</f>
        <v>0</v>
      </c>
      <c r="G318" s="18">
        <f ca="1">IFERROR(__xludf.DUMMYFUNCTION("""COMPUTED_VALUE"""),60)</f>
        <v>60</v>
      </c>
      <c r="H318" s="18">
        <f ca="1">IFERROR(__xludf.DUMMYFUNCTION("""COMPUTED_VALUE"""),-10)</f>
        <v>-10</v>
      </c>
      <c r="I318" s="19">
        <f ca="1">IFERROR(__xludf.DUMMYFUNCTION("""COMPUTED_VALUE"""),50)</f>
        <v>50</v>
      </c>
      <c r="J318" s="19">
        <f ca="1">IFERROR(__xludf.DUMMYFUNCTION("""COMPUTED_VALUE"""),5)</f>
        <v>5</v>
      </c>
      <c r="K318" s="20">
        <f ca="1">IFERROR(__xludf.DUMMYFUNCTION("""COMPUTED_VALUE"""),85)</f>
        <v>85</v>
      </c>
      <c r="L318" s="20">
        <f ca="1">IFERROR(__xludf.DUMMYFUNCTION("""COMPUTED_VALUE"""),0)</f>
        <v>0</v>
      </c>
      <c r="M318" s="21">
        <f ca="1">IFERROR(__xludf.DUMMYFUNCTION("""COMPUTED_VALUE"""),55)</f>
        <v>55</v>
      </c>
      <c r="N318" s="21">
        <f ca="1">IFERROR(__xludf.DUMMYFUNCTION("""COMPUTED_VALUE"""),5)</f>
        <v>5</v>
      </c>
      <c r="O318" s="22">
        <f ca="1">IFERROR(__xludf.DUMMYFUNCTION("""COMPUTED_VALUE"""),45)</f>
        <v>45</v>
      </c>
      <c r="P318" s="22">
        <f ca="1">IFERROR(__xludf.DUMMYFUNCTION("""COMPUTED_VALUE"""),0)</f>
        <v>0</v>
      </c>
      <c r="Q318" s="23">
        <f ca="1">IFERROR(__xludf.DUMMYFUNCTION("""COMPUTED_VALUE"""),435)</f>
        <v>435</v>
      </c>
      <c r="R318" s="23">
        <f ca="1">IFERROR(__xludf.DUMMYFUNCTION("""COMPUTED_VALUE"""),0)</f>
        <v>0</v>
      </c>
      <c r="S318" s="24" t="str">
        <f ca="1">IFERROR(__xludf.DUMMYFUNCTION("""COMPUTED_VALUE"""),"Cute Charm")</f>
        <v>Cute Charm</v>
      </c>
      <c r="T318" s="24" t="str">
        <f ca="1">IFERROR(__xludf.DUMMYFUNCTION("""COMPUTED_VALUE"""),"Competitive")</f>
        <v>Competitive</v>
      </c>
      <c r="U318" s="24" t="str">
        <f ca="1">IFERROR(__xludf.DUMMYFUNCTION("""COMPUTED_VALUE"""),"Huge Power")</f>
        <v>Huge Power</v>
      </c>
      <c r="V318" s="25" t="str">
        <f ca="1">IFERROR(__xludf.DUMMYFUNCTION("""COMPUTED_VALUE"""),"Moon Stone")</f>
        <v>Moon Stone</v>
      </c>
      <c r="W318" s="25"/>
      <c r="X318" s="25" t="str">
        <f ca="1">IFERROR(__xludf.DUMMYFUNCTION("""COMPUTED_VALUE"""),"Moon Stone")</f>
        <v>Moon Stone</v>
      </c>
      <c r="Y318" s="25" t="str">
        <f ca="1">IFERROR(__xludf.DUMMYFUNCTION("""COMPUTED_VALUE"""),"Port Pello (wild)")</f>
        <v>Port Pello (wild)</v>
      </c>
    </row>
    <row r="319" spans="1:25" x14ac:dyDescent="0.25">
      <c r="A319" s="15" t="str">
        <f ca="1">IFERROR(__xludf.DUMMYFUNCTION("""COMPUTED_VALUE"""),"Helioptile")</f>
        <v>Helioptile</v>
      </c>
      <c r="B319" s="16">
        <f ca="1">IFERROR(__xludf.DUMMYFUNCTION("""COMPUTED_VALUE"""),318)</f>
        <v>318</v>
      </c>
      <c r="C319" s="3" t="str">
        <f ca="1">IFERROR(__xludf.DUMMYFUNCTION("""COMPUTED_VALUE"""),"Electric")</f>
        <v>Electric</v>
      </c>
      <c r="D319" s="3" t="str">
        <f ca="1">IFERROR(__xludf.DUMMYFUNCTION("""COMPUTED_VALUE"""),"Normal")</f>
        <v>Normal</v>
      </c>
      <c r="E319" s="17">
        <f ca="1">IFERROR(__xludf.DUMMYFUNCTION("""COMPUTED_VALUE"""),44)</f>
        <v>44</v>
      </c>
      <c r="F319" s="17">
        <f ca="1">IFERROR(__xludf.DUMMYFUNCTION("""COMPUTED_VALUE"""),0)</f>
        <v>0</v>
      </c>
      <c r="G319" s="18">
        <f ca="1">IFERROR(__xludf.DUMMYFUNCTION("""COMPUTED_VALUE"""),38)</f>
        <v>38</v>
      </c>
      <c r="H319" s="18">
        <f ca="1">IFERROR(__xludf.DUMMYFUNCTION("""COMPUTED_VALUE"""),0)</f>
        <v>0</v>
      </c>
      <c r="I319" s="19">
        <f ca="1">IFERROR(__xludf.DUMMYFUNCTION("""COMPUTED_VALUE"""),33)</f>
        <v>33</v>
      </c>
      <c r="J319" s="19">
        <f ca="1">IFERROR(__xludf.DUMMYFUNCTION("""COMPUTED_VALUE"""),0)</f>
        <v>0</v>
      </c>
      <c r="K319" s="20">
        <f ca="1">IFERROR(__xludf.DUMMYFUNCTION("""COMPUTED_VALUE"""),61)</f>
        <v>61</v>
      </c>
      <c r="L319" s="20">
        <f ca="1">IFERROR(__xludf.DUMMYFUNCTION("""COMPUTED_VALUE"""),0)</f>
        <v>0</v>
      </c>
      <c r="M319" s="21">
        <f ca="1">IFERROR(__xludf.DUMMYFUNCTION("""COMPUTED_VALUE"""),43)</f>
        <v>43</v>
      </c>
      <c r="N319" s="21">
        <f ca="1">IFERROR(__xludf.DUMMYFUNCTION("""COMPUTED_VALUE"""),0)</f>
        <v>0</v>
      </c>
      <c r="O319" s="22">
        <f ca="1">IFERROR(__xludf.DUMMYFUNCTION("""COMPUTED_VALUE"""),70)</f>
        <v>70</v>
      </c>
      <c r="P319" s="22">
        <f ca="1">IFERROR(__xludf.DUMMYFUNCTION("""COMPUTED_VALUE"""),0)</f>
        <v>0</v>
      </c>
      <c r="Q319" s="23">
        <f ca="1">IFERROR(__xludf.DUMMYFUNCTION("""COMPUTED_VALUE"""),289)</f>
        <v>289</v>
      </c>
      <c r="R319" s="23">
        <f ca="1">IFERROR(__xludf.DUMMYFUNCTION("""COMPUTED_VALUE"""),0)</f>
        <v>0</v>
      </c>
      <c r="S319" s="24" t="str">
        <f ca="1">IFERROR(__xludf.DUMMYFUNCTION("""COMPUTED_VALUE"""),"Dry Skin")</f>
        <v>Dry Skin</v>
      </c>
      <c r="T319" s="24" t="str">
        <f ca="1">IFERROR(__xludf.DUMMYFUNCTION("""COMPUTED_VALUE"""),"Sand Veil")</f>
        <v>Sand Veil</v>
      </c>
      <c r="U319" s="24" t="str">
        <f ca="1">IFERROR(__xludf.DUMMYFUNCTION("""COMPUTED_VALUE"""),"Solar Power")</f>
        <v>Solar Power</v>
      </c>
      <c r="V319" s="25"/>
      <c r="W319" s="25"/>
      <c r="X319" s="25"/>
      <c r="Y319" s="25" t="str">
        <f ca="1">IFERROR(__xludf.DUMMYFUNCTION("""COMPUTED_VALUE"""),"?")</f>
        <v>?</v>
      </c>
    </row>
    <row r="320" spans="1:25" x14ac:dyDescent="0.25">
      <c r="A320" s="15" t="str">
        <f ca="1">IFERROR(__xludf.DUMMYFUNCTION("""COMPUTED_VALUE"""),"Heliolisk")</f>
        <v>Heliolisk</v>
      </c>
      <c r="B320" s="16">
        <f ca="1">IFERROR(__xludf.DUMMYFUNCTION("""COMPUTED_VALUE"""),319)</f>
        <v>319</v>
      </c>
      <c r="C320" s="3" t="str">
        <f ca="1">IFERROR(__xludf.DUMMYFUNCTION("""COMPUTED_VALUE"""),"Electric")</f>
        <v>Electric</v>
      </c>
      <c r="D320" s="3" t="str">
        <f ca="1">IFERROR(__xludf.DUMMYFUNCTION("""COMPUTED_VALUE"""),"Normal")</f>
        <v>Normal</v>
      </c>
      <c r="E320" s="17">
        <f ca="1">IFERROR(__xludf.DUMMYFUNCTION("""COMPUTED_VALUE"""),62)</f>
        <v>62</v>
      </c>
      <c r="F320" s="17">
        <f ca="1">IFERROR(__xludf.DUMMYFUNCTION("""COMPUTED_VALUE"""),0)</f>
        <v>0</v>
      </c>
      <c r="G320" s="18">
        <f ca="1">IFERROR(__xludf.DUMMYFUNCTION("""COMPUTED_VALUE"""),55)</f>
        <v>55</v>
      </c>
      <c r="H320" s="18">
        <f ca="1">IFERROR(__xludf.DUMMYFUNCTION("""COMPUTED_VALUE"""),0)</f>
        <v>0</v>
      </c>
      <c r="I320" s="19">
        <f ca="1">IFERROR(__xludf.DUMMYFUNCTION("""COMPUTED_VALUE"""),52)</f>
        <v>52</v>
      </c>
      <c r="J320" s="19">
        <f ca="1">IFERROR(__xludf.DUMMYFUNCTION("""COMPUTED_VALUE"""),0)</f>
        <v>0</v>
      </c>
      <c r="K320" s="20">
        <f ca="1">IFERROR(__xludf.DUMMYFUNCTION("""COMPUTED_VALUE"""),119)</f>
        <v>119</v>
      </c>
      <c r="L320" s="20">
        <f ca="1">IFERROR(__xludf.DUMMYFUNCTION("""COMPUTED_VALUE"""),10)</f>
        <v>10</v>
      </c>
      <c r="M320" s="21">
        <f ca="1">IFERROR(__xludf.DUMMYFUNCTION("""COMPUTED_VALUE"""),94)</f>
        <v>94</v>
      </c>
      <c r="N320" s="21">
        <f ca="1">IFERROR(__xludf.DUMMYFUNCTION("""COMPUTED_VALUE"""),0)</f>
        <v>0</v>
      </c>
      <c r="O320" s="22">
        <f ca="1">IFERROR(__xludf.DUMMYFUNCTION("""COMPUTED_VALUE"""),109)</f>
        <v>109</v>
      </c>
      <c r="P320" s="22">
        <f ca="1">IFERROR(__xludf.DUMMYFUNCTION("""COMPUTED_VALUE"""),0)</f>
        <v>0</v>
      </c>
      <c r="Q320" s="23">
        <f ca="1">IFERROR(__xludf.DUMMYFUNCTION("""COMPUTED_VALUE"""),491)</f>
        <v>491</v>
      </c>
      <c r="R320" s="23">
        <f ca="1">IFERROR(__xludf.DUMMYFUNCTION("""COMPUTED_VALUE"""),10)</f>
        <v>10</v>
      </c>
      <c r="S320" s="24" t="str">
        <f ca="1">IFERROR(__xludf.DUMMYFUNCTION("""COMPUTED_VALUE"""),"Dry Skin")</f>
        <v>Dry Skin</v>
      </c>
      <c r="T320" s="24" t="str">
        <f ca="1">IFERROR(__xludf.DUMMYFUNCTION("""COMPUTED_VALUE"""),"Sand Veil")</f>
        <v>Sand Veil</v>
      </c>
      <c r="U320" s="24" t="str">
        <f ca="1">IFERROR(__xludf.DUMMYFUNCTION("""COMPUTED_VALUE"""),"Solar Power")</f>
        <v>Solar Power</v>
      </c>
      <c r="V320" s="25" t="str">
        <f ca="1">IFERROR(__xludf.DUMMYFUNCTION("""COMPUTED_VALUE"""),"Sun Stone")</f>
        <v>Sun Stone</v>
      </c>
      <c r="W320" s="25"/>
      <c r="X320" s="25"/>
      <c r="Y320" s="25" t="str">
        <f ca="1">IFERROR(__xludf.DUMMYFUNCTION("""COMPUTED_VALUE"""),"?")</f>
        <v>?</v>
      </c>
    </row>
    <row r="321" spans="1:25" x14ac:dyDescent="0.25">
      <c r="A321" s="15" t="str">
        <f ca="1">IFERROR(__xludf.DUMMYFUNCTION("""COMPUTED_VALUE"""),"Falinks")</f>
        <v>Falinks</v>
      </c>
      <c r="B321" s="16">
        <f ca="1">IFERROR(__xludf.DUMMYFUNCTION("""COMPUTED_VALUE"""),320)</f>
        <v>320</v>
      </c>
      <c r="C321" s="3" t="str">
        <f ca="1">IFERROR(__xludf.DUMMYFUNCTION("""COMPUTED_VALUE"""),"Fighting")</f>
        <v>Fighting</v>
      </c>
      <c r="D321" s="3" t="str">
        <f ca="1">IFERROR(__xludf.DUMMYFUNCTION("""COMPUTED_VALUE"""),"Bug")</f>
        <v>Bug</v>
      </c>
      <c r="E321" s="17">
        <f ca="1">IFERROR(__xludf.DUMMYFUNCTION("""COMPUTED_VALUE"""),65)</f>
        <v>65</v>
      </c>
      <c r="F321" s="17">
        <f ca="1">IFERROR(__xludf.DUMMYFUNCTION("""COMPUTED_VALUE"""),0)</f>
        <v>0</v>
      </c>
      <c r="G321" s="18">
        <f ca="1">IFERROR(__xludf.DUMMYFUNCTION("""COMPUTED_VALUE"""),100)</f>
        <v>100</v>
      </c>
      <c r="H321" s="18">
        <f ca="1">IFERROR(__xludf.DUMMYFUNCTION("""COMPUTED_VALUE"""),0)</f>
        <v>0</v>
      </c>
      <c r="I321" s="19">
        <f ca="1">IFERROR(__xludf.DUMMYFUNCTION("""COMPUTED_VALUE"""),100)</f>
        <v>100</v>
      </c>
      <c r="J321" s="19">
        <f ca="1">IFERROR(__xludf.DUMMYFUNCTION("""COMPUTED_VALUE"""),0)</f>
        <v>0</v>
      </c>
      <c r="K321" s="20">
        <f ca="1">IFERROR(__xludf.DUMMYFUNCTION("""COMPUTED_VALUE"""),70)</f>
        <v>70</v>
      </c>
      <c r="L321" s="20">
        <f ca="1">IFERROR(__xludf.DUMMYFUNCTION("""COMPUTED_VALUE"""),0)</f>
        <v>0</v>
      </c>
      <c r="M321" s="21">
        <f ca="1">IFERROR(__xludf.DUMMYFUNCTION("""COMPUTED_VALUE"""),60)</f>
        <v>60</v>
      </c>
      <c r="N321" s="21">
        <f ca="1">IFERROR(__xludf.DUMMYFUNCTION("""COMPUTED_VALUE"""),0)</f>
        <v>0</v>
      </c>
      <c r="O321" s="22">
        <f ca="1">IFERROR(__xludf.DUMMYFUNCTION("""COMPUTED_VALUE"""),75)</f>
        <v>75</v>
      </c>
      <c r="P321" s="22">
        <f ca="1">IFERROR(__xludf.DUMMYFUNCTION("""COMPUTED_VALUE"""),0)</f>
        <v>0</v>
      </c>
      <c r="Q321" s="23">
        <f ca="1">IFERROR(__xludf.DUMMYFUNCTION("""COMPUTED_VALUE"""),470)</f>
        <v>470</v>
      </c>
      <c r="R321" s="23">
        <f ca="1">IFERROR(__xludf.DUMMYFUNCTION("""COMPUTED_VALUE"""),0)</f>
        <v>0</v>
      </c>
      <c r="S321" s="24" t="str">
        <f ca="1">IFERROR(__xludf.DUMMYFUNCTION("""COMPUTED_VALUE"""),"Battle Armor")</f>
        <v>Battle Armor</v>
      </c>
      <c r="T321" s="25"/>
      <c r="U321" s="24" t="str">
        <f ca="1">IFERROR(__xludf.DUMMYFUNCTION("""COMPUTED_VALUE"""),"Defiant")</f>
        <v>Defiant</v>
      </c>
      <c r="V321" s="25"/>
      <c r="W321" s="25"/>
      <c r="X321" s="25"/>
      <c r="Y321" s="25" t="str">
        <f ca="1">IFERROR(__xludf.DUMMYFUNCTION("""COMPUTED_VALUE"""),"Erinys Path E (wild)")</f>
        <v>Erinys Path E (wild)</v>
      </c>
    </row>
    <row r="322" spans="1:25" x14ac:dyDescent="0.25">
      <c r="A322" s="15" t="str">
        <f ca="1">IFERROR(__xludf.DUMMYFUNCTION("""COMPUTED_VALUE"""),"Trapinch")</f>
        <v>Trapinch</v>
      </c>
      <c r="B322" s="16">
        <f ca="1">IFERROR(__xludf.DUMMYFUNCTION("""COMPUTED_VALUE"""),321)</f>
        <v>321</v>
      </c>
      <c r="C322" s="3" t="str">
        <f ca="1">IFERROR(__xludf.DUMMYFUNCTION("""COMPUTED_VALUE"""),"Ground")</f>
        <v>Ground</v>
      </c>
      <c r="D322" s="3"/>
      <c r="E322" s="17">
        <f ca="1">IFERROR(__xludf.DUMMYFUNCTION("""COMPUTED_VALUE"""),45)</f>
        <v>45</v>
      </c>
      <c r="F322" s="17">
        <f ca="1">IFERROR(__xludf.DUMMYFUNCTION("""COMPUTED_VALUE"""),0)</f>
        <v>0</v>
      </c>
      <c r="G322" s="18">
        <f ca="1">IFERROR(__xludf.DUMMYFUNCTION("""COMPUTED_VALUE"""),100)</f>
        <v>100</v>
      </c>
      <c r="H322" s="18">
        <f ca="1">IFERROR(__xludf.DUMMYFUNCTION("""COMPUTED_VALUE"""),0)</f>
        <v>0</v>
      </c>
      <c r="I322" s="19">
        <f ca="1">IFERROR(__xludf.DUMMYFUNCTION("""COMPUTED_VALUE"""),45)</f>
        <v>45</v>
      </c>
      <c r="J322" s="19">
        <f ca="1">IFERROR(__xludf.DUMMYFUNCTION("""COMPUTED_VALUE"""),0)</f>
        <v>0</v>
      </c>
      <c r="K322" s="20">
        <f ca="1">IFERROR(__xludf.DUMMYFUNCTION("""COMPUTED_VALUE"""),45)</f>
        <v>45</v>
      </c>
      <c r="L322" s="20">
        <f ca="1">IFERROR(__xludf.DUMMYFUNCTION("""COMPUTED_VALUE"""),0)</f>
        <v>0</v>
      </c>
      <c r="M322" s="21">
        <f ca="1">IFERROR(__xludf.DUMMYFUNCTION("""COMPUTED_VALUE"""),45)</f>
        <v>45</v>
      </c>
      <c r="N322" s="21">
        <f ca="1">IFERROR(__xludf.DUMMYFUNCTION("""COMPUTED_VALUE"""),0)</f>
        <v>0</v>
      </c>
      <c r="O322" s="22">
        <f ca="1">IFERROR(__xludf.DUMMYFUNCTION("""COMPUTED_VALUE"""),10)</f>
        <v>10</v>
      </c>
      <c r="P322" s="22">
        <f ca="1">IFERROR(__xludf.DUMMYFUNCTION("""COMPUTED_VALUE"""),0)</f>
        <v>0</v>
      </c>
      <c r="Q322" s="23">
        <f ca="1">IFERROR(__xludf.DUMMYFUNCTION("""COMPUTED_VALUE"""),290)</f>
        <v>290</v>
      </c>
      <c r="R322" s="23">
        <f ca="1">IFERROR(__xludf.DUMMYFUNCTION("""COMPUTED_VALUE"""),0)</f>
        <v>0</v>
      </c>
      <c r="S322" s="24" t="str">
        <f ca="1">IFERROR(__xludf.DUMMYFUNCTION("""COMPUTED_VALUE"""),"Hyper Cutter")</f>
        <v>Hyper Cutter</v>
      </c>
      <c r="T322" s="24" t="str">
        <f ca="1">IFERROR(__xludf.DUMMYFUNCTION("""COMPUTED_VALUE"""),"Arena Trap")</f>
        <v>Arena Trap</v>
      </c>
      <c r="U322" s="24" t="str">
        <f ca="1">IFERROR(__xludf.DUMMYFUNCTION("""COMPUTED_VALUE"""),"Sheer Force")</f>
        <v>Sheer Force</v>
      </c>
      <c r="V322" s="25"/>
      <c r="W322" s="25"/>
      <c r="X322" s="25" t="str">
        <f ca="1">IFERROR(__xludf.DUMMYFUNCTION("""COMPUTED_VALUE"""),"Soft Sand")</f>
        <v>Soft Sand</v>
      </c>
      <c r="Y322" s="25" t="str">
        <f ca="1">IFERROR(__xludf.DUMMYFUNCTION("""COMPUTED_VALUE"""),"Pythios Cemetery, Fresco Isles (wild)")</f>
        <v>Pythios Cemetery, Fresco Isles (wild)</v>
      </c>
    </row>
    <row r="323" spans="1:25" x14ac:dyDescent="0.25">
      <c r="A323" s="15" t="str">
        <f ca="1">IFERROR(__xludf.DUMMYFUNCTION("""COMPUTED_VALUE"""),"Vibrava")</f>
        <v>Vibrava</v>
      </c>
      <c r="B323" s="16">
        <f ca="1">IFERROR(__xludf.DUMMYFUNCTION("""COMPUTED_VALUE"""),322)</f>
        <v>322</v>
      </c>
      <c r="C323" s="3" t="str">
        <f ca="1">IFERROR(__xludf.DUMMYFUNCTION("""COMPUTED_VALUE"""),"Ground")</f>
        <v>Ground</v>
      </c>
      <c r="D323" s="3" t="str">
        <f ca="1">IFERROR(__xludf.DUMMYFUNCTION("""COMPUTED_VALUE"""),"Dragon")</f>
        <v>Dragon</v>
      </c>
      <c r="E323" s="17">
        <f ca="1">IFERROR(__xludf.DUMMYFUNCTION("""COMPUTED_VALUE"""),50)</f>
        <v>50</v>
      </c>
      <c r="F323" s="17">
        <f ca="1">IFERROR(__xludf.DUMMYFUNCTION("""COMPUTED_VALUE"""),0)</f>
        <v>0</v>
      </c>
      <c r="G323" s="18">
        <f ca="1">IFERROR(__xludf.DUMMYFUNCTION("""COMPUTED_VALUE"""),75)</f>
        <v>75</v>
      </c>
      <c r="H323" s="18">
        <f ca="1">IFERROR(__xludf.DUMMYFUNCTION("""COMPUTED_VALUE"""),5)</f>
        <v>5</v>
      </c>
      <c r="I323" s="19">
        <f ca="1">IFERROR(__xludf.DUMMYFUNCTION("""COMPUTED_VALUE"""),55)</f>
        <v>55</v>
      </c>
      <c r="J323" s="19">
        <f ca="1">IFERROR(__xludf.DUMMYFUNCTION("""COMPUTED_VALUE"""),5)</f>
        <v>5</v>
      </c>
      <c r="K323" s="20">
        <f ca="1">IFERROR(__xludf.DUMMYFUNCTION("""COMPUTED_VALUE"""),50)</f>
        <v>50</v>
      </c>
      <c r="L323" s="20">
        <f ca="1">IFERROR(__xludf.DUMMYFUNCTION("""COMPUTED_VALUE"""),0)</f>
        <v>0</v>
      </c>
      <c r="M323" s="21">
        <f ca="1">IFERROR(__xludf.DUMMYFUNCTION("""COMPUTED_VALUE"""),55)</f>
        <v>55</v>
      </c>
      <c r="N323" s="21">
        <f ca="1">IFERROR(__xludf.DUMMYFUNCTION("""COMPUTED_VALUE"""),5)</f>
        <v>5</v>
      </c>
      <c r="O323" s="22">
        <f ca="1">IFERROR(__xludf.DUMMYFUNCTION("""COMPUTED_VALUE"""),85)</f>
        <v>85</v>
      </c>
      <c r="P323" s="22">
        <f ca="1">IFERROR(__xludf.DUMMYFUNCTION("""COMPUTED_VALUE"""),15)</f>
        <v>15</v>
      </c>
      <c r="Q323" s="23">
        <f ca="1">IFERROR(__xludf.DUMMYFUNCTION("""COMPUTED_VALUE"""),370)</f>
        <v>370</v>
      </c>
      <c r="R323" s="23">
        <f ca="1">IFERROR(__xludf.DUMMYFUNCTION("""COMPUTED_VALUE"""),30)</f>
        <v>30</v>
      </c>
      <c r="S323" s="24" t="str">
        <f ca="1">IFERROR(__xludf.DUMMYFUNCTION("""COMPUTED_VALUE"""),"Levitate")</f>
        <v>Levitate</v>
      </c>
      <c r="T323" s="25"/>
      <c r="U323" s="24" t="str">
        <f ca="1">IFERROR(__xludf.DUMMYFUNCTION("""COMPUTED_VALUE"""),"Sheer Force")</f>
        <v>Sheer Force</v>
      </c>
      <c r="V323" s="25" t="str">
        <f ca="1">IFERROR(__xludf.DUMMYFUNCTION("""COMPUTED_VALUE"""),"Lv. 22")</f>
        <v>Lv. 22</v>
      </c>
      <c r="W323" s="25"/>
      <c r="X323" s="25"/>
      <c r="Y323" s="25" t="str">
        <f ca="1">IFERROR(__xludf.DUMMYFUNCTION("""COMPUTED_VALUE"""),"The Stygian Caves (wild)")</f>
        <v>The Stygian Caves (wild)</v>
      </c>
    </row>
    <row r="324" spans="1:25" x14ac:dyDescent="0.25">
      <c r="A324" s="15" t="str">
        <f ca="1">IFERROR(__xludf.DUMMYFUNCTION("""COMPUTED_VALUE"""),"Flygon")</f>
        <v>Flygon</v>
      </c>
      <c r="B324" s="16">
        <f ca="1">IFERROR(__xludf.DUMMYFUNCTION("""COMPUTED_VALUE"""),323)</f>
        <v>323</v>
      </c>
      <c r="C324" s="3" t="str">
        <f ca="1">IFERROR(__xludf.DUMMYFUNCTION("""COMPUTED_VALUE"""),"Ground")</f>
        <v>Ground</v>
      </c>
      <c r="D324" s="3" t="str">
        <f ca="1">IFERROR(__xludf.DUMMYFUNCTION("""COMPUTED_VALUE"""),"Dragon")</f>
        <v>Dragon</v>
      </c>
      <c r="E324" s="17">
        <f ca="1">IFERROR(__xludf.DUMMYFUNCTION("""COMPUTED_VALUE"""),80)</f>
        <v>80</v>
      </c>
      <c r="F324" s="17">
        <f ca="1">IFERROR(__xludf.DUMMYFUNCTION("""COMPUTED_VALUE"""),0)</f>
        <v>0</v>
      </c>
      <c r="G324" s="18">
        <f ca="1">IFERROR(__xludf.DUMMYFUNCTION("""COMPUTED_VALUE"""),100)</f>
        <v>100</v>
      </c>
      <c r="H324" s="18">
        <f ca="1">IFERROR(__xludf.DUMMYFUNCTION("""COMPUTED_VALUE"""),0)</f>
        <v>0</v>
      </c>
      <c r="I324" s="19">
        <f ca="1">IFERROR(__xludf.DUMMYFUNCTION("""COMPUTED_VALUE"""),80)</f>
        <v>80</v>
      </c>
      <c r="J324" s="19">
        <f ca="1">IFERROR(__xludf.DUMMYFUNCTION("""COMPUTED_VALUE"""),0)</f>
        <v>0</v>
      </c>
      <c r="K324" s="20">
        <f ca="1">IFERROR(__xludf.DUMMYFUNCTION("""COMPUTED_VALUE"""),85)</f>
        <v>85</v>
      </c>
      <c r="L324" s="20">
        <f ca="1">IFERROR(__xludf.DUMMYFUNCTION("""COMPUTED_VALUE"""),5)</f>
        <v>5</v>
      </c>
      <c r="M324" s="21">
        <f ca="1">IFERROR(__xludf.DUMMYFUNCTION("""COMPUTED_VALUE"""),80)</f>
        <v>80</v>
      </c>
      <c r="N324" s="21">
        <f ca="1">IFERROR(__xludf.DUMMYFUNCTION("""COMPUTED_VALUE"""),0)</f>
        <v>0</v>
      </c>
      <c r="O324" s="22">
        <f ca="1">IFERROR(__xludf.DUMMYFUNCTION("""COMPUTED_VALUE"""),100)</f>
        <v>100</v>
      </c>
      <c r="P324" s="22">
        <f ca="1">IFERROR(__xludf.DUMMYFUNCTION("""COMPUTED_VALUE"""),0)</f>
        <v>0</v>
      </c>
      <c r="Q324" s="23">
        <f ca="1">IFERROR(__xludf.DUMMYFUNCTION("""COMPUTED_VALUE"""),525)</f>
        <v>525</v>
      </c>
      <c r="R324" s="23">
        <f ca="1">IFERROR(__xludf.DUMMYFUNCTION("""COMPUTED_VALUE"""),5)</f>
        <v>5</v>
      </c>
      <c r="S324" s="24" t="str">
        <f ca="1">IFERROR(__xludf.DUMMYFUNCTION("""COMPUTED_VALUE"""),"Levitate")</f>
        <v>Levitate</v>
      </c>
      <c r="T324" s="25"/>
      <c r="U324" s="24" t="str">
        <f ca="1">IFERROR(__xludf.DUMMYFUNCTION("""COMPUTED_VALUE"""),"Sheer Force")</f>
        <v>Sheer Force</v>
      </c>
      <c r="V324" s="25" t="str">
        <f ca="1">IFERROR(__xludf.DUMMYFUNCTION("""COMPUTED_VALUE"""),"Lv. 45")</f>
        <v>Lv. 45</v>
      </c>
      <c r="W324" s="25"/>
      <c r="X324" s="25"/>
      <c r="Y324" s="25" t="str">
        <f ca="1">IFERROR(__xludf.DUMMYFUNCTION("""COMPUTED_VALUE"""),"Vibrava (evolve)")</f>
        <v>Vibrava (evolve)</v>
      </c>
    </row>
    <row r="325" spans="1:25" x14ac:dyDescent="0.25">
      <c r="A325" s="15" t="str">
        <f ca="1">IFERROR(__xludf.DUMMYFUNCTION("""COMPUTED_VALUE"""),"Doduo")</f>
        <v>Doduo</v>
      </c>
      <c r="B325" s="16">
        <f ca="1">IFERROR(__xludf.DUMMYFUNCTION("""COMPUTED_VALUE"""),324)</f>
        <v>324</v>
      </c>
      <c r="C325" s="3" t="str">
        <f ca="1">IFERROR(__xludf.DUMMYFUNCTION("""COMPUTED_VALUE"""),"Ground")</f>
        <v>Ground</v>
      </c>
      <c r="D325" s="3" t="str">
        <f ca="1">IFERROR(__xludf.DUMMYFUNCTION("""COMPUTED_VALUE"""),"Flying")</f>
        <v>Flying</v>
      </c>
      <c r="E325" s="17">
        <f ca="1">IFERROR(__xludf.DUMMYFUNCTION("""COMPUTED_VALUE"""),35)</f>
        <v>35</v>
      </c>
      <c r="F325" s="17">
        <f ca="1">IFERROR(__xludf.DUMMYFUNCTION("""COMPUTED_VALUE"""),0)</f>
        <v>0</v>
      </c>
      <c r="G325" s="18">
        <f ca="1">IFERROR(__xludf.DUMMYFUNCTION("""COMPUTED_VALUE"""),85)</f>
        <v>85</v>
      </c>
      <c r="H325" s="18">
        <f ca="1">IFERROR(__xludf.DUMMYFUNCTION("""COMPUTED_VALUE"""),0)</f>
        <v>0</v>
      </c>
      <c r="I325" s="19">
        <f ca="1">IFERROR(__xludf.DUMMYFUNCTION("""COMPUTED_VALUE"""),45)</f>
        <v>45</v>
      </c>
      <c r="J325" s="19">
        <f ca="1">IFERROR(__xludf.DUMMYFUNCTION("""COMPUTED_VALUE"""),0)</f>
        <v>0</v>
      </c>
      <c r="K325" s="20">
        <f ca="1">IFERROR(__xludf.DUMMYFUNCTION("""COMPUTED_VALUE"""),35)</f>
        <v>35</v>
      </c>
      <c r="L325" s="20">
        <f ca="1">IFERROR(__xludf.DUMMYFUNCTION("""COMPUTED_VALUE"""),0)</f>
        <v>0</v>
      </c>
      <c r="M325" s="21">
        <f ca="1">IFERROR(__xludf.DUMMYFUNCTION("""COMPUTED_VALUE"""),35)</f>
        <v>35</v>
      </c>
      <c r="N325" s="21">
        <f ca="1">IFERROR(__xludf.DUMMYFUNCTION("""COMPUTED_VALUE"""),0)</f>
        <v>0</v>
      </c>
      <c r="O325" s="22">
        <f ca="1">IFERROR(__xludf.DUMMYFUNCTION("""COMPUTED_VALUE"""),75)</f>
        <v>75</v>
      </c>
      <c r="P325" s="22">
        <f ca="1">IFERROR(__xludf.DUMMYFUNCTION("""COMPUTED_VALUE"""),0)</f>
        <v>0</v>
      </c>
      <c r="Q325" s="23">
        <f ca="1">IFERROR(__xludf.DUMMYFUNCTION("""COMPUTED_VALUE"""),310)</f>
        <v>310</v>
      </c>
      <c r="R325" s="23">
        <f ca="1">IFERROR(__xludf.DUMMYFUNCTION("""COMPUTED_VALUE"""),0)</f>
        <v>0</v>
      </c>
      <c r="S325" s="24" t="str">
        <f ca="1">IFERROR(__xludf.DUMMYFUNCTION("""COMPUTED_VALUE"""),"Run Away")</f>
        <v>Run Away</v>
      </c>
      <c r="T325" s="24" t="str">
        <f ca="1">IFERROR(__xludf.DUMMYFUNCTION("""COMPUTED_VALUE"""),"Strong Legs")</f>
        <v>Strong Legs</v>
      </c>
      <c r="U325" s="24" t="str">
        <f ca="1">IFERROR(__xludf.DUMMYFUNCTION("""COMPUTED_VALUE"""),"Intimidate")</f>
        <v>Intimidate</v>
      </c>
      <c r="V325" s="25"/>
      <c r="W325" s="25"/>
      <c r="X325" s="25" t="str">
        <f ca="1">IFERROR(__xludf.DUMMYFUNCTION("""COMPUTED_VALUE"""),"Sharp Beak")</f>
        <v>Sharp Beak</v>
      </c>
      <c r="Y325" s="25" t="str">
        <f ca="1">IFERROR(__xludf.DUMMYFUNCTION("""COMPUTED_VALUE"""),"Riverwalk Trail N, Pythios Town, Fresco Isles (wild)")</f>
        <v>Riverwalk Trail N, Pythios Town, Fresco Isles (wild)</v>
      </c>
    </row>
    <row r="326" spans="1:25" x14ac:dyDescent="0.25">
      <c r="A326" s="15" t="str">
        <f ca="1">IFERROR(__xludf.DUMMYFUNCTION("""COMPUTED_VALUE"""),"Dodrio")</f>
        <v>Dodrio</v>
      </c>
      <c r="B326" s="16">
        <f ca="1">IFERROR(__xludf.DUMMYFUNCTION("""COMPUTED_VALUE"""),325)</f>
        <v>325</v>
      </c>
      <c r="C326" s="3" t="str">
        <f ca="1">IFERROR(__xludf.DUMMYFUNCTION("""COMPUTED_VALUE"""),"Ground")</f>
        <v>Ground</v>
      </c>
      <c r="D326" s="3" t="str">
        <f ca="1">IFERROR(__xludf.DUMMYFUNCTION("""COMPUTED_VALUE"""),"Flying")</f>
        <v>Flying</v>
      </c>
      <c r="E326" s="17">
        <f ca="1">IFERROR(__xludf.DUMMYFUNCTION("""COMPUTED_VALUE"""),70)</f>
        <v>70</v>
      </c>
      <c r="F326" s="17">
        <f ca="1">IFERROR(__xludf.DUMMYFUNCTION("""COMPUTED_VALUE"""),10)</f>
        <v>10</v>
      </c>
      <c r="G326" s="18">
        <f ca="1">IFERROR(__xludf.DUMMYFUNCTION("""COMPUTED_VALUE"""),110)</f>
        <v>110</v>
      </c>
      <c r="H326" s="18">
        <f ca="1">IFERROR(__xludf.DUMMYFUNCTION("""COMPUTED_VALUE"""),0)</f>
        <v>0</v>
      </c>
      <c r="I326" s="19">
        <f ca="1">IFERROR(__xludf.DUMMYFUNCTION("""COMPUTED_VALUE"""),70)</f>
        <v>70</v>
      </c>
      <c r="J326" s="19">
        <f ca="1">IFERROR(__xludf.DUMMYFUNCTION("""COMPUTED_VALUE"""),0)</f>
        <v>0</v>
      </c>
      <c r="K326" s="20">
        <f ca="1">IFERROR(__xludf.DUMMYFUNCTION("""COMPUTED_VALUE"""),60)</f>
        <v>60</v>
      </c>
      <c r="L326" s="20">
        <f ca="1">IFERROR(__xludf.DUMMYFUNCTION("""COMPUTED_VALUE"""),0)</f>
        <v>0</v>
      </c>
      <c r="M326" s="21">
        <f ca="1">IFERROR(__xludf.DUMMYFUNCTION("""COMPUTED_VALUE"""),60)</f>
        <v>60</v>
      </c>
      <c r="N326" s="21">
        <f ca="1">IFERROR(__xludf.DUMMYFUNCTION("""COMPUTED_VALUE"""),0)</f>
        <v>0</v>
      </c>
      <c r="O326" s="22">
        <f ca="1">IFERROR(__xludf.DUMMYFUNCTION("""COMPUTED_VALUE"""),110)</f>
        <v>110</v>
      </c>
      <c r="P326" s="22">
        <f ca="1">IFERROR(__xludf.DUMMYFUNCTION("""COMPUTED_VALUE"""),0)</f>
        <v>0</v>
      </c>
      <c r="Q326" s="23">
        <f ca="1">IFERROR(__xludf.DUMMYFUNCTION("""COMPUTED_VALUE"""),480)</f>
        <v>480</v>
      </c>
      <c r="R326" s="23">
        <f ca="1">IFERROR(__xludf.DUMMYFUNCTION("""COMPUTED_VALUE"""),10)</f>
        <v>10</v>
      </c>
      <c r="S326" s="24" t="str">
        <f ca="1">IFERROR(__xludf.DUMMYFUNCTION("""COMPUTED_VALUE"""),"Run Away")</f>
        <v>Run Away</v>
      </c>
      <c r="T326" s="24" t="str">
        <f ca="1">IFERROR(__xludf.DUMMYFUNCTION("""COMPUTED_VALUE"""),"Strong Legs")</f>
        <v>Strong Legs</v>
      </c>
      <c r="U326" s="24" t="str">
        <f ca="1">IFERROR(__xludf.DUMMYFUNCTION("""COMPUTED_VALUE"""),"Intimidate")</f>
        <v>Intimidate</v>
      </c>
      <c r="V326" s="25" t="str">
        <f ca="1">IFERROR(__xludf.DUMMYFUNCTION("""COMPUTED_VALUE"""),"Lv. 31")</f>
        <v>Lv. 31</v>
      </c>
      <c r="W326" s="25"/>
      <c r="X326" s="25" t="str">
        <f ca="1">IFERROR(__xludf.DUMMYFUNCTION("""COMPUTED_VALUE"""),"Sharp Beak")</f>
        <v>Sharp Beak</v>
      </c>
      <c r="Y326" s="25" t="str">
        <f ca="1">IFERROR(__xludf.DUMMYFUNCTION("""COMPUTED_VALUE"""),"Doduo (evolve)")</f>
        <v>Doduo (evolve)</v>
      </c>
    </row>
    <row r="327" spans="1:25" x14ac:dyDescent="0.25">
      <c r="A327" s="15" t="str">
        <f ca="1">IFERROR(__xludf.DUMMYFUNCTION("""COMPUTED_VALUE"""),"Tinkatink")</f>
        <v>Tinkatink</v>
      </c>
      <c r="B327" s="16">
        <f ca="1">IFERROR(__xludf.DUMMYFUNCTION("""COMPUTED_VALUE"""),326)</f>
        <v>326</v>
      </c>
      <c r="C327" s="3" t="str">
        <f ca="1">IFERROR(__xludf.DUMMYFUNCTION("""COMPUTED_VALUE"""),"Fairy")</f>
        <v>Fairy</v>
      </c>
      <c r="D327" s="3" t="str">
        <f ca="1">IFERROR(__xludf.DUMMYFUNCTION("""COMPUTED_VALUE"""),"Steel")</f>
        <v>Steel</v>
      </c>
      <c r="E327" s="17">
        <f ca="1">IFERROR(__xludf.DUMMYFUNCTION("""COMPUTED_VALUE"""),50)</f>
        <v>50</v>
      </c>
      <c r="F327" s="17">
        <f ca="1">IFERROR(__xludf.DUMMYFUNCTION("""COMPUTED_VALUE"""),0)</f>
        <v>0</v>
      </c>
      <c r="G327" s="18">
        <f ca="1">IFERROR(__xludf.DUMMYFUNCTION("""COMPUTED_VALUE"""),45)</f>
        <v>45</v>
      </c>
      <c r="H327" s="18">
        <f ca="1">IFERROR(__xludf.DUMMYFUNCTION("""COMPUTED_VALUE"""),0)</f>
        <v>0</v>
      </c>
      <c r="I327" s="19">
        <f ca="1">IFERROR(__xludf.DUMMYFUNCTION("""COMPUTED_VALUE"""),45)</f>
        <v>45</v>
      </c>
      <c r="J327" s="19">
        <f ca="1">IFERROR(__xludf.DUMMYFUNCTION("""COMPUTED_VALUE"""),0)</f>
        <v>0</v>
      </c>
      <c r="K327" s="20">
        <f ca="1">IFERROR(__xludf.DUMMYFUNCTION("""COMPUTED_VALUE"""),35)</f>
        <v>35</v>
      </c>
      <c r="L327" s="20">
        <f ca="1">IFERROR(__xludf.DUMMYFUNCTION("""COMPUTED_VALUE"""),0)</f>
        <v>0</v>
      </c>
      <c r="M327" s="21">
        <f ca="1">IFERROR(__xludf.DUMMYFUNCTION("""COMPUTED_VALUE"""),64)</f>
        <v>64</v>
      </c>
      <c r="N327" s="21">
        <f ca="1">IFERROR(__xludf.DUMMYFUNCTION("""COMPUTED_VALUE"""),0)</f>
        <v>0</v>
      </c>
      <c r="O327" s="22">
        <f ca="1">IFERROR(__xludf.DUMMYFUNCTION("""COMPUTED_VALUE"""),58)</f>
        <v>58</v>
      </c>
      <c r="P327" s="22">
        <f ca="1">IFERROR(__xludf.DUMMYFUNCTION("""COMPUTED_VALUE"""),0)</f>
        <v>0</v>
      </c>
      <c r="Q327" s="23">
        <f ca="1">IFERROR(__xludf.DUMMYFUNCTION("""COMPUTED_VALUE"""),297)</f>
        <v>297</v>
      </c>
      <c r="R327" s="23">
        <f ca="1">IFERROR(__xludf.DUMMYFUNCTION("""COMPUTED_VALUE"""),0)</f>
        <v>0</v>
      </c>
      <c r="S327" s="24" t="str">
        <f ca="1">IFERROR(__xludf.DUMMYFUNCTION("""COMPUTED_VALUE"""),"Mold Breaker")</f>
        <v>Mold Breaker</v>
      </c>
      <c r="T327" s="24" t="str">
        <f ca="1">IFERROR(__xludf.DUMMYFUNCTION("""COMPUTED_VALUE"""),"Unaware")</f>
        <v>Unaware</v>
      </c>
      <c r="U327" s="24" t="str">
        <f ca="1">IFERROR(__xludf.DUMMYFUNCTION("""COMPUTED_VALUE"""),"Sheer Force")</f>
        <v>Sheer Force</v>
      </c>
      <c r="V327" s="25"/>
      <c r="W327" s="25"/>
      <c r="X327" s="25"/>
      <c r="Y327" s="25" t="str">
        <f ca="1">IFERROR(__xludf.DUMMYFUNCTION("""COMPUTED_VALUE"""),"Marmaro Island (wild)")</f>
        <v>Marmaro Island (wild)</v>
      </c>
    </row>
    <row r="328" spans="1:25" x14ac:dyDescent="0.25">
      <c r="A328" s="15" t="str">
        <f ca="1">IFERROR(__xludf.DUMMYFUNCTION("""COMPUTED_VALUE"""),"Tinkatuff")</f>
        <v>Tinkatuff</v>
      </c>
      <c r="B328" s="16">
        <f ca="1">IFERROR(__xludf.DUMMYFUNCTION("""COMPUTED_VALUE"""),327)</f>
        <v>327</v>
      </c>
      <c r="C328" s="3" t="str">
        <f ca="1">IFERROR(__xludf.DUMMYFUNCTION("""COMPUTED_VALUE"""),"Fairy")</f>
        <v>Fairy</v>
      </c>
      <c r="D328" s="3" t="str">
        <f ca="1">IFERROR(__xludf.DUMMYFUNCTION("""COMPUTED_VALUE"""),"Steel")</f>
        <v>Steel</v>
      </c>
      <c r="E328" s="17">
        <f ca="1">IFERROR(__xludf.DUMMYFUNCTION("""COMPUTED_VALUE"""),65)</f>
        <v>65</v>
      </c>
      <c r="F328" s="17">
        <f ca="1">IFERROR(__xludf.DUMMYFUNCTION("""COMPUTED_VALUE"""),0)</f>
        <v>0</v>
      </c>
      <c r="G328" s="18">
        <f ca="1">IFERROR(__xludf.DUMMYFUNCTION("""COMPUTED_VALUE"""),65)</f>
        <v>65</v>
      </c>
      <c r="H328" s="18">
        <f ca="1">IFERROR(__xludf.DUMMYFUNCTION("""COMPUTED_VALUE"""),10)</f>
        <v>10</v>
      </c>
      <c r="I328" s="19">
        <f ca="1">IFERROR(__xludf.DUMMYFUNCTION("""COMPUTED_VALUE"""),65)</f>
        <v>65</v>
      </c>
      <c r="J328" s="19">
        <f ca="1">IFERROR(__xludf.DUMMYFUNCTION("""COMPUTED_VALUE"""),10)</f>
        <v>10</v>
      </c>
      <c r="K328" s="20">
        <f ca="1">IFERROR(__xludf.DUMMYFUNCTION("""COMPUTED_VALUE"""),45)</f>
        <v>45</v>
      </c>
      <c r="L328" s="20">
        <f ca="1">IFERROR(__xludf.DUMMYFUNCTION("""COMPUTED_VALUE"""),0)</f>
        <v>0</v>
      </c>
      <c r="M328" s="21">
        <f ca="1">IFERROR(__xludf.DUMMYFUNCTION("""COMPUTED_VALUE"""),82)</f>
        <v>82</v>
      </c>
      <c r="N328" s="21">
        <f ca="1">IFERROR(__xludf.DUMMYFUNCTION("""COMPUTED_VALUE"""),0)</f>
        <v>0</v>
      </c>
      <c r="O328" s="22">
        <f ca="1">IFERROR(__xludf.DUMMYFUNCTION("""COMPUTED_VALUE"""),78)</f>
        <v>78</v>
      </c>
      <c r="P328" s="22">
        <f ca="1">IFERROR(__xludf.DUMMYFUNCTION("""COMPUTED_VALUE"""),0)</f>
        <v>0</v>
      </c>
      <c r="Q328" s="23">
        <f ca="1">IFERROR(__xludf.DUMMYFUNCTION("""COMPUTED_VALUE"""),400)</f>
        <v>400</v>
      </c>
      <c r="R328" s="23">
        <f ca="1">IFERROR(__xludf.DUMMYFUNCTION("""COMPUTED_VALUE"""),20)</f>
        <v>20</v>
      </c>
      <c r="S328" s="24" t="str">
        <f ca="1">IFERROR(__xludf.DUMMYFUNCTION("""COMPUTED_VALUE"""),"Mold Breaker")</f>
        <v>Mold Breaker</v>
      </c>
      <c r="T328" s="24" t="str">
        <f ca="1">IFERROR(__xludf.DUMMYFUNCTION("""COMPUTED_VALUE"""),"Unaware")</f>
        <v>Unaware</v>
      </c>
      <c r="U328" s="24" t="str">
        <f ca="1">IFERROR(__xludf.DUMMYFUNCTION("""COMPUTED_VALUE"""),"Sheer Force")</f>
        <v>Sheer Force</v>
      </c>
      <c r="V328" s="25" t="str">
        <f ca="1">IFERROR(__xludf.DUMMYFUNCTION("""COMPUTED_VALUE"""),"Lv. 22")</f>
        <v>Lv. 22</v>
      </c>
      <c r="W328" s="25"/>
      <c r="X328" s="25"/>
      <c r="Y328" s="25" t="str">
        <f ca="1">IFERROR(__xludf.DUMMYFUNCTION("""COMPUTED_VALUE"""),"Sea of Vulcai, Fresco Isles (wild)")</f>
        <v>Sea of Vulcai, Fresco Isles (wild)</v>
      </c>
    </row>
    <row r="329" spans="1:25" x14ac:dyDescent="0.25">
      <c r="A329" s="15" t="str">
        <f ca="1">IFERROR(__xludf.DUMMYFUNCTION("""COMPUTED_VALUE"""),"Tinkaton")</f>
        <v>Tinkaton</v>
      </c>
      <c r="B329" s="16">
        <f ca="1">IFERROR(__xludf.DUMMYFUNCTION("""COMPUTED_VALUE"""),328)</f>
        <v>328</v>
      </c>
      <c r="C329" s="3" t="str">
        <f ca="1">IFERROR(__xludf.DUMMYFUNCTION("""COMPUTED_VALUE"""),"Fairy")</f>
        <v>Fairy</v>
      </c>
      <c r="D329" s="3" t="str">
        <f ca="1">IFERROR(__xludf.DUMMYFUNCTION("""COMPUTED_VALUE"""),"Steel")</f>
        <v>Steel</v>
      </c>
      <c r="E329" s="17">
        <f ca="1">IFERROR(__xludf.DUMMYFUNCTION("""COMPUTED_VALUE"""),90)</f>
        <v>90</v>
      </c>
      <c r="F329" s="17">
        <f ca="1">IFERROR(__xludf.DUMMYFUNCTION("""COMPUTED_VALUE"""),5)</f>
        <v>5</v>
      </c>
      <c r="G329" s="18">
        <f ca="1">IFERROR(__xludf.DUMMYFUNCTION("""COMPUTED_VALUE"""),75)</f>
        <v>75</v>
      </c>
      <c r="H329" s="18">
        <f ca="1">IFERROR(__xludf.DUMMYFUNCTION("""COMPUTED_VALUE"""),0)</f>
        <v>0</v>
      </c>
      <c r="I329" s="19">
        <f ca="1">IFERROR(__xludf.DUMMYFUNCTION("""COMPUTED_VALUE"""),82)</f>
        <v>82</v>
      </c>
      <c r="J329" s="19">
        <f ca="1">IFERROR(__xludf.DUMMYFUNCTION("""COMPUTED_VALUE"""),5)</f>
        <v>5</v>
      </c>
      <c r="K329" s="20">
        <f ca="1">IFERROR(__xludf.DUMMYFUNCTION("""COMPUTED_VALUE"""),70)</f>
        <v>70</v>
      </c>
      <c r="L329" s="20">
        <f ca="1">IFERROR(__xludf.DUMMYFUNCTION("""COMPUTED_VALUE"""),0)</f>
        <v>0</v>
      </c>
      <c r="M329" s="21">
        <f ca="1">IFERROR(__xludf.DUMMYFUNCTION("""COMPUTED_VALUE"""),105)</f>
        <v>105</v>
      </c>
      <c r="N329" s="21">
        <f ca="1">IFERROR(__xludf.DUMMYFUNCTION("""COMPUTED_VALUE"""),0)</f>
        <v>0</v>
      </c>
      <c r="O329" s="22">
        <f ca="1">IFERROR(__xludf.DUMMYFUNCTION("""COMPUTED_VALUE"""),94)</f>
        <v>94</v>
      </c>
      <c r="P329" s="22">
        <f ca="1">IFERROR(__xludf.DUMMYFUNCTION("""COMPUTED_VALUE"""),0)</f>
        <v>0</v>
      </c>
      <c r="Q329" s="23">
        <f ca="1">IFERROR(__xludf.DUMMYFUNCTION("""COMPUTED_VALUE"""),516)</f>
        <v>516</v>
      </c>
      <c r="R329" s="23">
        <f ca="1">IFERROR(__xludf.DUMMYFUNCTION("""COMPUTED_VALUE"""),10)</f>
        <v>10</v>
      </c>
      <c r="S329" s="24" t="str">
        <f ca="1">IFERROR(__xludf.DUMMYFUNCTION("""COMPUTED_VALUE"""),"Mold Breaker")</f>
        <v>Mold Breaker</v>
      </c>
      <c r="T329" s="24" t="str">
        <f ca="1">IFERROR(__xludf.DUMMYFUNCTION("""COMPUTED_VALUE"""),"Unaware")</f>
        <v>Unaware</v>
      </c>
      <c r="U329" s="24" t="str">
        <f ca="1">IFERROR(__xludf.DUMMYFUNCTION("""COMPUTED_VALUE"""),"Sheer Force")</f>
        <v>Sheer Force</v>
      </c>
      <c r="V329" s="25" t="str">
        <f ca="1">IFERROR(__xludf.DUMMYFUNCTION("""COMPUTED_VALUE"""),"Lv. 38")</f>
        <v>Lv. 38</v>
      </c>
      <c r="W329" s="25"/>
      <c r="X329" s="25"/>
      <c r="Y329" s="25" t="str">
        <f ca="1">IFERROR(__xludf.DUMMYFUNCTION("""COMPUTED_VALUE"""),"Tinkatuff (evolve)")</f>
        <v>Tinkatuff (evolve)</v>
      </c>
    </row>
    <row r="330" spans="1:25" x14ac:dyDescent="0.25">
      <c r="A330" s="15" t="str">
        <f ca="1">IFERROR(__xludf.DUMMYFUNCTION("""COMPUTED_VALUE"""),"Scraggy")</f>
        <v>Scraggy</v>
      </c>
      <c r="B330" s="16">
        <f ca="1">IFERROR(__xludf.DUMMYFUNCTION("""COMPUTED_VALUE"""),329)</f>
        <v>329</v>
      </c>
      <c r="C330" s="3" t="str">
        <f ca="1">IFERROR(__xludf.DUMMYFUNCTION("""COMPUTED_VALUE"""),"Dark")</f>
        <v>Dark</v>
      </c>
      <c r="D330" s="3" t="str">
        <f ca="1">IFERROR(__xludf.DUMMYFUNCTION("""COMPUTED_VALUE"""),"Fighting")</f>
        <v>Fighting</v>
      </c>
      <c r="E330" s="17">
        <f ca="1">IFERROR(__xludf.DUMMYFUNCTION("""COMPUTED_VALUE"""),50)</f>
        <v>50</v>
      </c>
      <c r="F330" s="17">
        <f ca="1">IFERROR(__xludf.DUMMYFUNCTION("""COMPUTED_VALUE"""),0)</f>
        <v>0</v>
      </c>
      <c r="G330" s="18">
        <f ca="1">IFERROR(__xludf.DUMMYFUNCTION("""COMPUTED_VALUE"""),75)</f>
        <v>75</v>
      </c>
      <c r="H330" s="18">
        <f ca="1">IFERROR(__xludf.DUMMYFUNCTION("""COMPUTED_VALUE"""),0)</f>
        <v>0</v>
      </c>
      <c r="I330" s="19">
        <f ca="1">IFERROR(__xludf.DUMMYFUNCTION("""COMPUTED_VALUE"""),70)</f>
        <v>70</v>
      </c>
      <c r="J330" s="19">
        <f ca="1">IFERROR(__xludf.DUMMYFUNCTION("""COMPUTED_VALUE"""),0)</f>
        <v>0</v>
      </c>
      <c r="K330" s="20">
        <f ca="1">IFERROR(__xludf.DUMMYFUNCTION("""COMPUTED_VALUE"""),35)</f>
        <v>35</v>
      </c>
      <c r="L330" s="20">
        <f ca="1">IFERROR(__xludf.DUMMYFUNCTION("""COMPUTED_VALUE"""),0)</f>
        <v>0</v>
      </c>
      <c r="M330" s="21">
        <f ca="1">IFERROR(__xludf.DUMMYFUNCTION("""COMPUTED_VALUE"""),70)</f>
        <v>70</v>
      </c>
      <c r="N330" s="21">
        <f ca="1">IFERROR(__xludf.DUMMYFUNCTION("""COMPUTED_VALUE"""),0)</f>
        <v>0</v>
      </c>
      <c r="O330" s="22">
        <f ca="1">IFERROR(__xludf.DUMMYFUNCTION("""COMPUTED_VALUE"""),48)</f>
        <v>48</v>
      </c>
      <c r="P330" s="22">
        <f ca="1">IFERROR(__xludf.DUMMYFUNCTION("""COMPUTED_VALUE"""),0)</f>
        <v>0</v>
      </c>
      <c r="Q330" s="23">
        <f ca="1">IFERROR(__xludf.DUMMYFUNCTION("""COMPUTED_VALUE"""),348)</f>
        <v>348</v>
      </c>
      <c r="R330" s="23">
        <f ca="1">IFERROR(__xludf.DUMMYFUNCTION("""COMPUTED_VALUE"""),0)</f>
        <v>0</v>
      </c>
      <c r="S330" s="24" t="str">
        <f ca="1">IFERROR(__xludf.DUMMYFUNCTION("""COMPUTED_VALUE"""),"Shed Skin")</f>
        <v>Shed Skin</v>
      </c>
      <c r="T330" s="24" t="str">
        <f ca="1">IFERROR(__xludf.DUMMYFUNCTION("""COMPUTED_VALUE"""),"Moxie")</f>
        <v>Moxie</v>
      </c>
      <c r="U330" s="24" t="str">
        <f ca="1">IFERROR(__xludf.DUMMYFUNCTION("""COMPUTED_VALUE"""),"Intimidate")</f>
        <v>Intimidate</v>
      </c>
      <c r="V330" s="25"/>
      <c r="W330" s="25"/>
      <c r="X330" s="25" t="str">
        <f ca="1">IFERROR(__xludf.DUMMYFUNCTION("""COMPUTED_VALUE"""),"Shed Shell")</f>
        <v>Shed Shell</v>
      </c>
      <c r="Y330" s="25" t="str">
        <f ca="1">IFERROR(__xludf.DUMMYFUNCTION("""COMPUTED_VALUE"""),"Pythios Cemetery, Fresco Isles (wild)")</f>
        <v>Pythios Cemetery, Fresco Isles (wild)</v>
      </c>
    </row>
    <row r="331" spans="1:25" x14ac:dyDescent="0.25">
      <c r="A331" s="15" t="str">
        <f ca="1">IFERROR(__xludf.DUMMYFUNCTION("""COMPUTED_VALUE"""),"Scrafty")</f>
        <v>Scrafty</v>
      </c>
      <c r="B331" s="16">
        <f ca="1">IFERROR(__xludf.DUMMYFUNCTION("""COMPUTED_VALUE"""),330)</f>
        <v>330</v>
      </c>
      <c r="C331" s="3" t="str">
        <f ca="1">IFERROR(__xludf.DUMMYFUNCTION("""COMPUTED_VALUE"""),"Dark")</f>
        <v>Dark</v>
      </c>
      <c r="D331" s="3" t="str">
        <f ca="1">IFERROR(__xludf.DUMMYFUNCTION("""COMPUTED_VALUE"""),"Fighting")</f>
        <v>Fighting</v>
      </c>
      <c r="E331" s="17">
        <f ca="1">IFERROR(__xludf.DUMMYFUNCTION("""COMPUTED_VALUE"""),70)</f>
        <v>70</v>
      </c>
      <c r="F331" s="17">
        <f ca="1">IFERROR(__xludf.DUMMYFUNCTION("""COMPUTED_VALUE"""),5)</f>
        <v>5</v>
      </c>
      <c r="G331" s="18">
        <f ca="1">IFERROR(__xludf.DUMMYFUNCTION("""COMPUTED_VALUE"""),95)</f>
        <v>95</v>
      </c>
      <c r="H331" s="18">
        <f ca="1">IFERROR(__xludf.DUMMYFUNCTION("""COMPUTED_VALUE"""),5)</f>
        <v>5</v>
      </c>
      <c r="I331" s="19">
        <f ca="1">IFERROR(__xludf.DUMMYFUNCTION("""COMPUTED_VALUE"""),120)</f>
        <v>120</v>
      </c>
      <c r="J331" s="19">
        <f ca="1">IFERROR(__xludf.DUMMYFUNCTION("""COMPUTED_VALUE"""),5)</f>
        <v>5</v>
      </c>
      <c r="K331" s="20">
        <f ca="1">IFERROR(__xludf.DUMMYFUNCTION("""COMPUTED_VALUE"""),40)</f>
        <v>40</v>
      </c>
      <c r="L331" s="20">
        <f ca="1">IFERROR(__xludf.DUMMYFUNCTION("""COMPUTED_VALUE"""),-5)</f>
        <v>-5</v>
      </c>
      <c r="M331" s="21">
        <f ca="1">IFERROR(__xludf.DUMMYFUNCTION("""COMPUTED_VALUE"""),120)</f>
        <v>120</v>
      </c>
      <c r="N331" s="21">
        <f ca="1">IFERROR(__xludf.DUMMYFUNCTION("""COMPUTED_VALUE"""),5)</f>
        <v>5</v>
      </c>
      <c r="O331" s="22">
        <f ca="1">IFERROR(__xludf.DUMMYFUNCTION("""COMPUTED_VALUE"""),55)</f>
        <v>55</v>
      </c>
      <c r="P331" s="22">
        <f ca="1">IFERROR(__xludf.DUMMYFUNCTION("""COMPUTED_VALUE"""),-3)</f>
        <v>-3</v>
      </c>
      <c r="Q331" s="23">
        <f ca="1">IFERROR(__xludf.DUMMYFUNCTION("""COMPUTED_VALUE"""),500)</f>
        <v>500</v>
      </c>
      <c r="R331" s="23">
        <f ca="1">IFERROR(__xludf.DUMMYFUNCTION("""COMPUTED_VALUE"""),12)</f>
        <v>12</v>
      </c>
      <c r="S331" s="24" t="str">
        <f ca="1">IFERROR(__xludf.DUMMYFUNCTION("""COMPUTED_VALUE"""),"Rock Head")</f>
        <v>Rock Head</v>
      </c>
      <c r="T331" s="24" t="str">
        <f ca="1">IFERROR(__xludf.DUMMYFUNCTION("""COMPUTED_VALUE"""),"Moxie")</f>
        <v>Moxie</v>
      </c>
      <c r="U331" s="24" t="str">
        <f ca="1">IFERROR(__xludf.DUMMYFUNCTION("""COMPUTED_VALUE"""),"Intimidate")</f>
        <v>Intimidate</v>
      </c>
      <c r="V331" s="25" t="str">
        <f ca="1">IFERROR(__xludf.DUMMYFUNCTION("""COMPUTED_VALUE"""),"Lv. 30")</f>
        <v>Lv. 30</v>
      </c>
      <c r="W331" s="25"/>
      <c r="X331" s="25" t="str">
        <f ca="1">IFERROR(__xludf.DUMMYFUNCTION("""COMPUTED_VALUE"""),"Shed Shell")</f>
        <v>Shed Shell</v>
      </c>
      <c r="Y331" s="25" t="str">
        <f ca="1">IFERROR(__xludf.DUMMYFUNCTION("""COMPUTED_VALUE"""),"Areios Hideout (wild)")</f>
        <v>Areios Hideout (wild)</v>
      </c>
    </row>
    <row r="332" spans="1:25" x14ac:dyDescent="0.25">
      <c r="A332" s="15" t="str">
        <f ca="1">IFERROR(__xludf.DUMMYFUNCTION("""COMPUTED_VALUE"""),"Gligar")</f>
        <v>Gligar</v>
      </c>
      <c r="B332" s="16">
        <f ca="1">IFERROR(__xludf.DUMMYFUNCTION("""COMPUTED_VALUE"""),331)</f>
        <v>331</v>
      </c>
      <c r="C332" s="3" t="str">
        <f ca="1">IFERROR(__xludf.DUMMYFUNCTION("""COMPUTED_VALUE"""),"Ground")</f>
        <v>Ground</v>
      </c>
      <c r="D332" s="3" t="str">
        <f ca="1">IFERROR(__xludf.DUMMYFUNCTION("""COMPUTED_VALUE"""),"Flying")</f>
        <v>Flying</v>
      </c>
      <c r="E332" s="17">
        <f ca="1">IFERROR(__xludf.DUMMYFUNCTION("""COMPUTED_VALUE"""),75)</f>
        <v>75</v>
      </c>
      <c r="F332" s="17">
        <f ca="1">IFERROR(__xludf.DUMMYFUNCTION("""COMPUTED_VALUE"""),10)</f>
        <v>10</v>
      </c>
      <c r="G332" s="18">
        <f ca="1">IFERROR(__xludf.DUMMYFUNCTION("""COMPUTED_VALUE"""),75)</f>
        <v>75</v>
      </c>
      <c r="H332" s="18">
        <f ca="1">IFERROR(__xludf.DUMMYFUNCTION("""COMPUTED_VALUE"""),0)</f>
        <v>0</v>
      </c>
      <c r="I332" s="19">
        <f ca="1">IFERROR(__xludf.DUMMYFUNCTION("""COMPUTED_VALUE"""),105)</f>
        <v>105</v>
      </c>
      <c r="J332" s="19">
        <f ca="1">IFERROR(__xludf.DUMMYFUNCTION("""COMPUTED_VALUE"""),0)</f>
        <v>0</v>
      </c>
      <c r="K332" s="20">
        <f ca="1">IFERROR(__xludf.DUMMYFUNCTION("""COMPUTED_VALUE"""),35)</f>
        <v>35</v>
      </c>
      <c r="L332" s="20">
        <f ca="1">IFERROR(__xludf.DUMMYFUNCTION("""COMPUTED_VALUE"""),0)</f>
        <v>0</v>
      </c>
      <c r="M332" s="21">
        <f ca="1">IFERROR(__xludf.DUMMYFUNCTION("""COMPUTED_VALUE"""),70)</f>
        <v>70</v>
      </c>
      <c r="N332" s="21">
        <f ca="1">IFERROR(__xludf.DUMMYFUNCTION("""COMPUTED_VALUE"""),5)</f>
        <v>5</v>
      </c>
      <c r="O332" s="22">
        <f ca="1">IFERROR(__xludf.DUMMYFUNCTION("""COMPUTED_VALUE"""),60)</f>
        <v>60</v>
      </c>
      <c r="P332" s="22">
        <f ca="1">IFERROR(__xludf.DUMMYFUNCTION("""COMPUTED_VALUE"""),-25)</f>
        <v>-25</v>
      </c>
      <c r="Q332" s="23">
        <f ca="1">IFERROR(__xludf.DUMMYFUNCTION("""COMPUTED_VALUE"""),420)</f>
        <v>420</v>
      </c>
      <c r="R332" s="23">
        <f ca="1">IFERROR(__xludf.DUMMYFUNCTION("""COMPUTED_VALUE"""),-10)</f>
        <v>-10</v>
      </c>
      <c r="S332" s="24" t="str">
        <f ca="1">IFERROR(__xludf.DUMMYFUNCTION("""COMPUTED_VALUE"""),"Hyper Cutter")</f>
        <v>Hyper Cutter</v>
      </c>
      <c r="T332" s="24" t="str">
        <f ca="1">IFERROR(__xludf.DUMMYFUNCTION("""COMPUTED_VALUE"""),"Sand Veil")</f>
        <v>Sand Veil</v>
      </c>
      <c r="U332" s="24" t="str">
        <f ca="1">IFERROR(__xludf.DUMMYFUNCTION("""COMPUTED_VALUE"""),"Immunity")</f>
        <v>Immunity</v>
      </c>
      <c r="V332" s="25"/>
      <c r="W332" s="25"/>
      <c r="X332" s="25"/>
      <c r="Y332" s="25" t="str">
        <f ca="1">IFERROR(__xludf.DUMMYFUNCTION("""COMPUTED_VALUE"""),"Riverwalk Trail N, Fresco Isles (wild)")</f>
        <v>Riverwalk Trail N, Fresco Isles (wild)</v>
      </c>
    </row>
    <row r="333" spans="1:25" x14ac:dyDescent="0.25">
      <c r="A333" s="15" t="str">
        <f ca="1">IFERROR(__xludf.DUMMYFUNCTION("""COMPUTED_VALUE"""),"Gliscor")</f>
        <v>Gliscor</v>
      </c>
      <c r="B333" s="16">
        <f ca="1">IFERROR(__xludf.DUMMYFUNCTION("""COMPUTED_VALUE"""),332)</f>
        <v>332</v>
      </c>
      <c r="C333" s="3" t="str">
        <f ca="1">IFERROR(__xludf.DUMMYFUNCTION("""COMPUTED_VALUE"""),"Ground")</f>
        <v>Ground</v>
      </c>
      <c r="D333" s="3" t="str">
        <f ca="1">IFERROR(__xludf.DUMMYFUNCTION("""COMPUTED_VALUE"""),"Flying")</f>
        <v>Flying</v>
      </c>
      <c r="E333" s="17">
        <f ca="1">IFERROR(__xludf.DUMMYFUNCTION("""COMPUTED_VALUE"""),85)</f>
        <v>85</v>
      </c>
      <c r="F333" s="17">
        <f ca="1">IFERROR(__xludf.DUMMYFUNCTION("""COMPUTED_VALUE"""),10)</f>
        <v>10</v>
      </c>
      <c r="G333" s="18">
        <f ca="1">IFERROR(__xludf.DUMMYFUNCTION("""COMPUTED_VALUE"""),95)</f>
        <v>95</v>
      </c>
      <c r="H333" s="18">
        <f ca="1">IFERROR(__xludf.DUMMYFUNCTION("""COMPUTED_VALUE"""),0)</f>
        <v>0</v>
      </c>
      <c r="I333" s="19">
        <f ca="1">IFERROR(__xludf.DUMMYFUNCTION("""COMPUTED_VALUE"""),125)</f>
        <v>125</v>
      </c>
      <c r="J333" s="19">
        <f ca="1">IFERROR(__xludf.DUMMYFUNCTION("""COMPUTED_VALUE"""),0)</f>
        <v>0</v>
      </c>
      <c r="K333" s="20">
        <f ca="1">IFERROR(__xludf.DUMMYFUNCTION("""COMPUTED_VALUE"""),45)</f>
        <v>45</v>
      </c>
      <c r="L333" s="20">
        <f ca="1">IFERROR(__xludf.DUMMYFUNCTION("""COMPUTED_VALUE"""),0)</f>
        <v>0</v>
      </c>
      <c r="M333" s="21">
        <f ca="1">IFERROR(__xludf.DUMMYFUNCTION("""COMPUTED_VALUE"""),90)</f>
        <v>90</v>
      </c>
      <c r="N333" s="21">
        <f ca="1">IFERROR(__xludf.DUMMYFUNCTION("""COMPUTED_VALUE"""),15)</f>
        <v>15</v>
      </c>
      <c r="O333" s="22">
        <f ca="1">IFERROR(__xludf.DUMMYFUNCTION("""COMPUTED_VALUE"""),65)</f>
        <v>65</v>
      </c>
      <c r="P333" s="22">
        <f ca="1">IFERROR(__xludf.DUMMYFUNCTION("""COMPUTED_VALUE"""),-30)</f>
        <v>-30</v>
      </c>
      <c r="Q333" s="23">
        <f ca="1">IFERROR(__xludf.DUMMYFUNCTION("""COMPUTED_VALUE"""),505)</f>
        <v>505</v>
      </c>
      <c r="R333" s="23">
        <f ca="1">IFERROR(__xludf.DUMMYFUNCTION("""COMPUTED_VALUE"""),-5)</f>
        <v>-5</v>
      </c>
      <c r="S333" s="24" t="str">
        <f ca="1">IFERROR(__xludf.DUMMYFUNCTION("""COMPUTED_VALUE"""),"Hyper Cutter")</f>
        <v>Hyper Cutter</v>
      </c>
      <c r="T333" s="24" t="str">
        <f ca="1">IFERROR(__xludf.DUMMYFUNCTION("""COMPUTED_VALUE"""),"Sand Veil")</f>
        <v>Sand Veil</v>
      </c>
      <c r="U333" s="24" t="str">
        <f ca="1">IFERROR(__xludf.DUMMYFUNCTION("""COMPUTED_VALUE"""),"Poison Heal")</f>
        <v>Poison Heal</v>
      </c>
      <c r="V333" s="25" t="str">
        <f ca="1">IFERROR(__xludf.DUMMYFUNCTION("""COMPUTED_VALUE"""),"Razor Fang")</f>
        <v>Razor Fang</v>
      </c>
      <c r="W333" s="25"/>
      <c r="X333" s="25"/>
      <c r="Y333" s="25" t="str">
        <f ca="1">IFERROR(__xludf.DUMMYFUNCTION("""COMPUTED_VALUE"""),"Gligar (evolve)")</f>
        <v>Gligar (evolve)</v>
      </c>
    </row>
    <row r="334" spans="1:25" x14ac:dyDescent="0.25">
      <c r="A334" s="15" t="str">
        <f ca="1">IFERROR(__xludf.DUMMYFUNCTION("""COMPUTED_VALUE"""),"Torkoal")</f>
        <v>Torkoal</v>
      </c>
      <c r="B334" s="16">
        <f ca="1">IFERROR(__xludf.DUMMYFUNCTION("""COMPUTED_VALUE"""),333)</f>
        <v>333</v>
      </c>
      <c r="C334" s="3" t="str">
        <f ca="1">IFERROR(__xludf.DUMMYFUNCTION("""COMPUTED_VALUE"""),"Fire")</f>
        <v>Fire</v>
      </c>
      <c r="D334" s="3"/>
      <c r="E334" s="17">
        <f ca="1">IFERROR(__xludf.DUMMYFUNCTION("""COMPUTED_VALUE"""),70)</f>
        <v>70</v>
      </c>
      <c r="F334" s="17">
        <f ca="1">IFERROR(__xludf.DUMMYFUNCTION("""COMPUTED_VALUE"""),0)</f>
        <v>0</v>
      </c>
      <c r="G334" s="18">
        <f ca="1">IFERROR(__xludf.DUMMYFUNCTION("""COMPUTED_VALUE"""),85)</f>
        <v>85</v>
      </c>
      <c r="H334" s="18">
        <f ca="1">IFERROR(__xludf.DUMMYFUNCTION("""COMPUTED_VALUE"""),0)</f>
        <v>0</v>
      </c>
      <c r="I334" s="19">
        <f ca="1">IFERROR(__xludf.DUMMYFUNCTION("""COMPUTED_VALUE"""),140)</f>
        <v>140</v>
      </c>
      <c r="J334" s="19">
        <f ca="1">IFERROR(__xludf.DUMMYFUNCTION("""COMPUTED_VALUE"""),0)</f>
        <v>0</v>
      </c>
      <c r="K334" s="20">
        <f ca="1">IFERROR(__xludf.DUMMYFUNCTION("""COMPUTED_VALUE"""),85)</f>
        <v>85</v>
      </c>
      <c r="L334" s="20">
        <f ca="1">IFERROR(__xludf.DUMMYFUNCTION("""COMPUTED_VALUE"""),0)</f>
        <v>0</v>
      </c>
      <c r="M334" s="21">
        <f ca="1">IFERROR(__xludf.DUMMYFUNCTION("""COMPUTED_VALUE"""),70)</f>
        <v>70</v>
      </c>
      <c r="N334" s="21">
        <f ca="1">IFERROR(__xludf.DUMMYFUNCTION("""COMPUTED_VALUE"""),0)</f>
        <v>0</v>
      </c>
      <c r="O334" s="22">
        <f ca="1">IFERROR(__xludf.DUMMYFUNCTION("""COMPUTED_VALUE"""),20)</f>
        <v>20</v>
      </c>
      <c r="P334" s="22">
        <f ca="1">IFERROR(__xludf.DUMMYFUNCTION("""COMPUTED_VALUE"""),0)</f>
        <v>0</v>
      </c>
      <c r="Q334" s="23">
        <f ca="1">IFERROR(__xludf.DUMMYFUNCTION("""COMPUTED_VALUE"""),470)</f>
        <v>470</v>
      </c>
      <c r="R334" s="23">
        <f ca="1">IFERROR(__xludf.DUMMYFUNCTION("""COMPUTED_VALUE"""),0)</f>
        <v>0</v>
      </c>
      <c r="S334" s="24" t="str">
        <f ca="1">IFERROR(__xludf.DUMMYFUNCTION("""COMPUTED_VALUE"""),"White Smoke")</f>
        <v>White Smoke</v>
      </c>
      <c r="T334" s="24" t="str">
        <f ca="1">IFERROR(__xludf.DUMMYFUNCTION("""COMPUTED_VALUE"""),"Drought")</f>
        <v>Drought</v>
      </c>
      <c r="U334" s="24" t="str">
        <f ca="1">IFERROR(__xludf.DUMMYFUNCTION("""COMPUTED_VALUE"""),"Shell Armor")</f>
        <v>Shell Armor</v>
      </c>
      <c r="V334" s="25"/>
      <c r="W334" s="25"/>
      <c r="X334" s="25" t="str">
        <f ca="1">IFERROR(__xludf.DUMMYFUNCTION("""COMPUTED_VALUE"""),"Charcoal")</f>
        <v>Charcoal</v>
      </c>
      <c r="Y334" s="25" t="str">
        <f ca="1">IFERROR(__xludf.DUMMYFUNCTION("""COMPUTED_VALUE"""),"Corrin Crossing, Kalami City? (wild)")</f>
        <v>Corrin Crossing, Kalami City? (wild)</v>
      </c>
    </row>
    <row r="335" spans="1:25" x14ac:dyDescent="0.25">
      <c r="A335" s="15" t="str">
        <f ca="1">IFERROR(__xludf.DUMMYFUNCTION("""COMPUTED_VALUE"""),"Numel")</f>
        <v>Numel</v>
      </c>
      <c r="B335" s="16">
        <f ca="1">IFERROR(__xludf.DUMMYFUNCTION("""COMPUTED_VALUE"""),334)</f>
        <v>334</v>
      </c>
      <c r="C335" s="3" t="str">
        <f ca="1">IFERROR(__xludf.DUMMYFUNCTION("""COMPUTED_VALUE"""),"Fire")</f>
        <v>Fire</v>
      </c>
      <c r="D335" s="3" t="str">
        <f ca="1">IFERROR(__xludf.DUMMYFUNCTION("""COMPUTED_VALUE"""),"Ground")</f>
        <v>Ground</v>
      </c>
      <c r="E335" s="17">
        <f ca="1">IFERROR(__xludf.DUMMYFUNCTION("""COMPUTED_VALUE"""),60)</f>
        <v>60</v>
      </c>
      <c r="F335" s="17">
        <f ca="1">IFERROR(__xludf.DUMMYFUNCTION("""COMPUTED_VALUE"""),0)</f>
        <v>0</v>
      </c>
      <c r="G335" s="18">
        <f ca="1">IFERROR(__xludf.DUMMYFUNCTION("""COMPUTED_VALUE"""),60)</f>
        <v>60</v>
      </c>
      <c r="H335" s="18">
        <f ca="1">IFERROR(__xludf.DUMMYFUNCTION("""COMPUTED_VALUE"""),0)</f>
        <v>0</v>
      </c>
      <c r="I335" s="19">
        <f ca="1">IFERROR(__xludf.DUMMYFUNCTION("""COMPUTED_VALUE"""),40)</f>
        <v>40</v>
      </c>
      <c r="J335" s="19">
        <f ca="1">IFERROR(__xludf.DUMMYFUNCTION("""COMPUTED_VALUE"""),0)</f>
        <v>0</v>
      </c>
      <c r="K335" s="20">
        <f ca="1">IFERROR(__xludf.DUMMYFUNCTION("""COMPUTED_VALUE"""),65)</f>
        <v>65</v>
      </c>
      <c r="L335" s="20">
        <f ca="1">IFERROR(__xludf.DUMMYFUNCTION("""COMPUTED_VALUE"""),0)</f>
        <v>0</v>
      </c>
      <c r="M335" s="21">
        <f ca="1">IFERROR(__xludf.DUMMYFUNCTION("""COMPUTED_VALUE"""),45)</f>
        <v>45</v>
      </c>
      <c r="N335" s="21">
        <f ca="1">IFERROR(__xludf.DUMMYFUNCTION("""COMPUTED_VALUE"""),0)</f>
        <v>0</v>
      </c>
      <c r="O335" s="22">
        <f ca="1">IFERROR(__xludf.DUMMYFUNCTION("""COMPUTED_VALUE"""),35)</f>
        <v>35</v>
      </c>
      <c r="P335" s="22">
        <f ca="1">IFERROR(__xludf.DUMMYFUNCTION("""COMPUTED_VALUE"""),0)</f>
        <v>0</v>
      </c>
      <c r="Q335" s="23">
        <f ca="1">IFERROR(__xludf.DUMMYFUNCTION("""COMPUTED_VALUE"""),305)</f>
        <v>305</v>
      </c>
      <c r="R335" s="23">
        <f ca="1">IFERROR(__xludf.DUMMYFUNCTION("""COMPUTED_VALUE"""),0)</f>
        <v>0</v>
      </c>
      <c r="S335" s="24" t="str">
        <f ca="1">IFERROR(__xludf.DUMMYFUNCTION("""COMPUTED_VALUE"""),"Oblivious")</f>
        <v>Oblivious</v>
      </c>
      <c r="T335" s="24" t="str">
        <f ca="1">IFERROR(__xludf.DUMMYFUNCTION("""COMPUTED_VALUE"""),"Simple")</f>
        <v>Simple</v>
      </c>
      <c r="U335" s="24" t="str">
        <f ca="1">IFERROR(__xludf.DUMMYFUNCTION("""COMPUTED_VALUE"""),"Own Tempo")</f>
        <v>Own Tempo</v>
      </c>
      <c r="V335" s="25"/>
      <c r="W335" s="25"/>
      <c r="X335" s="25"/>
      <c r="Y335" s="25" t="str">
        <f ca="1">IFERROR(__xludf.DUMMYFUNCTION("""COMPUTED_VALUE"""),"Fresco Isles (wild)")</f>
        <v>Fresco Isles (wild)</v>
      </c>
    </row>
    <row r="336" spans="1:25" x14ac:dyDescent="0.25">
      <c r="A336" s="15" t="str">
        <f ca="1">IFERROR(__xludf.DUMMYFUNCTION("""COMPUTED_VALUE"""),"Camerupt")</f>
        <v>Camerupt</v>
      </c>
      <c r="B336" s="16">
        <f ca="1">IFERROR(__xludf.DUMMYFUNCTION("""COMPUTED_VALUE"""),335)</f>
        <v>335</v>
      </c>
      <c r="C336" s="3" t="str">
        <f ca="1">IFERROR(__xludf.DUMMYFUNCTION("""COMPUTED_VALUE"""),"Fire")</f>
        <v>Fire</v>
      </c>
      <c r="D336" s="3" t="str">
        <f ca="1">IFERROR(__xludf.DUMMYFUNCTION("""COMPUTED_VALUE"""),"Ground")</f>
        <v>Ground</v>
      </c>
      <c r="E336" s="17">
        <f ca="1">IFERROR(__xludf.DUMMYFUNCTION("""COMPUTED_VALUE"""),105)</f>
        <v>105</v>
      </c>
      <c r="F336" s="17">
        <f ca="1">IFERROR(__xludf.DUMMYFUNCTION("""COMPUTED_VALUE"""),35)</f>
        <v>35</v>
      </c>
      <c r="G336" s="18">
        <f ca="1">IFERROR(__xludf.DUMMYFUNCTION("""COMPUTED_VALUE"""),95)</f>
        <v>95</v>
      </c>
      <c r="H336" s="18">
        <f ca="1">IFERROR(__xludf.DUMMYFUNCTION("""COMPUTED_VALUE"""),-5)</f>
        <v>-5</v>
      </c>
      <c r="I336" s="19">
        <f ca="1">IFERROR(__xludf.DUMMYFUNCTION("""COMPUTED_VALUE"""),70)</f>
        <v>70</v>
      </c>
      <c r="J336" s="19">
        <f ca="1">IFERROR(__xludf.DUMMYFUNCTION("""COMPUTED_VALUE"""),0)</f>
        <v>0</v>
      </c>
      <c r="K336" s="20">
        <f ca="1">IFERROR(__xludf.DUMMYFUNCTION("""COMPUTED_VALUE"""),100)</f>
        <v>100</v>
      </c>
      <c r="L336" s="20">
        <f ca="1">IFERROR(__xludf.DUMMYFUNCTION("""COMPUTED_VALUE"""),-5)</f>
        <v>-5</v>
      </c>
      <c r="M336" s="21">
        <f ca="1">IFERROR(__xludf.DUMMYFUNCTION("""COMPUTED_VALUE"""),75)</f>
        <v>75</v>
      </c>
      <c r="N336" s="21">
        <f ca="1">IFERROR(__xludf.DUMMYFUNCTION("""COMPUTED_VALUE"""),0)</f>
        <v>0</v>
      </c>
      <c r="O336" s="22">
        <f ca="1">IFERROR(__xludf.DUMMYFUNCTION("""COMPUTED_VALUE"""),40)</f>
        <v>40</v>
      </c>
      <c r="P336" s="22">
        <f ca="1">IFERROR(__xludf.DUMMYFUNCTION("""COMPUTED_VALUE"""),0)</f>
        <v>0</v>
      </c>
      <c r="Q336" s="23">
        <f ca="1">IFERROR(__xludf.DUMMYFUNCTION("""COMPUTED_VALUE"""),485)</f>
        <v>485</v>
      </c>
      <c r="R336" s="23">
        <f ca="1">IFERROR(__xludf.DUMMYFUNCTION("""COMPUTED_VALUE"""),25)</f>
        <v>25</v>
      </c>
      <c r="S336" s="24" t="str">
        <f ca="1">IFERROR(__xludf.DUMMYFUNCTION("""COMPUTED_VALUE"""),"Magma Armor")</f>
        <v>Magma Armor</v>
      </c>
      <c r="T336" s="24" t="str">
        <f ca="1">IFERROR(__xludf.DUMMYFUNCTION("""COMPUTED_VALUE"""),"Solid Rock")</f>
        <v>Solid Rock</v>
      </c>
      <c r="U336" s="24" t="str">
        <f ca="1">IFERROR(__xludf.DUMMYFUNCTION("""COMPUTED_VALUE"""),"Anger Point")</f>
        <v>Anger Point</v>
      </c>
      <c r="V336" s="25" t="str">
        <f ca="1">IFERROR(__xludf.DUMMYFUNCTION("""COMPUTED_VALUE"""),"Lv. 33")</f>
        <v>Lv. 33</v>
      </c>
      <c r="W336" s="25"/>
      <c r="X336" s="25"/>
      <c r="Y336" s="25" t="str">
        <f ca="1">IFERROR(__xludf.DUMMYFUNCTION("""COMPUTED_VALUE"""),"The Stygian Caves (wild)")</f>
        <v>The Stygian Caves (wild)</v>
      </c>
    </row>
    <row r="337" spans="1:25" x14ac:dyDescent="0.25">
      <c r="A337" s="15" t="str">
        <f ca="1">IFERROR(__xludf.DUMMYFUNCTION("""COMPUTED_VALUE"""),"Relicanth")</f>
        <v>Relicanth</v>
      </c>
      <c r="B337" s="16">
        <f ca="1">IFERROR(__xludf.DUMMYFUNCTION("""COMPUTED_VALUE"""),336)</f>
        <v>336</v>
      </c>
      <c r="C337" s="3" t="str">
        <f ca="1">IFERROR(__xludf.DUMMYFUNCTION("""COMPUTED_VALUE"""),"Water")</f>
        <v>Water</v>
      </c>
      <c r="D337" s="3" t="str">
        <f ca="1">IFERROR(__xludf.DUMMYFUNCTION("""COMPUTED_VALUE"""),"Rock")</f>
        <v>Rock</v>
      </c>
      <c r="E337" s="17">
        <f ca="1">IFERROR(__xludf.DUMMYFUNCTION("""COMPUTED_VALUE"""),100)</f>
        <v>100</v>
      </c>
      <c r="F337" s="17">
        <f ca="1">IFERROR(__xludf.DUMMYFUNCTION("""COMPUTED_VALUE"""),0)</f>
        <v>0</v>
      </c>
      <c r="G337" s="18">
        <f ca="1">IFERROR(__xludf.DUMMYFUNCTION("""COMPUTED_VALUE"""),90)</f>
        <v>90</v>
      </c>
      <c r="H337" s="18">
        <f ca="1">IFERROR(__xludf.DUMMYFUNCTION("""COMPUTED_VALUE"""),0)</f>
        <v>0</v>
      </c>
      <c r="I337" s="19">
        <f ca="1">IFERROR(__xludf.DUMMYFUNCTION("""COMPUTED_VALUE"""),130)</f>
        <v>130</v>
      </c>
      <c r="J337" s="19">
        <f ca="1">IFERROR(__xludf.DUMMYFUNCTION("""COMPUTED_VALUE"""),0)</f>
        <v>0</v>
      </c>
      <c r="K337" s="20">
        <f ca="1">IFERROR(__xludf.DUMMYFUNCTION("""COMPUTED_VALUE"""),45)</f>
        <v>45</v>
      </c>
      <c r="L337" s="20">
        <f ca="1">IFERROR(__xludf.DUMMYFUNCTION("""COMPUTED_VALUE"""),0)</f>
        <v>0</v>
      </c>
      <c r="M337" s="21">
        <f ca="1">IFERROR(__xludf.DUMMYFUNCTION("""COMPUTED_VALUE"""),85)</f>
        <v>85</v>
      </c>
      <c r="N337" s="21">
        <f ca="1">IFERROR(__xludf.DUMMYFUNCTION("""COMPUTED_VALUE"""),20)</f>
        <v>20</v>
      </c>
      <c r="O337" s="22">
        <f ca="1">IFERROR(__xludf.DUMMYFUNCTION("""COMPUTED_VALUE"""),35)</f>
        <v>35</v>
      </c>
      <c r="P337" s="22">
        <f ca="1">IFERROR(__xludf.DUMMYFUNCTION("""COMPUTED_VALUE"""),-20)</f>
        <v>-20</v>
      </c>
      <c r="Q337" s="23">
        <f ca="1">IFERROR(__xludf.DUMMYFUNCTION("""COMPUTED_VALUE"""),485)</f>
        <v>485</v>
      </c>
      <c r="R337" s="23">
        <f ca="1">IFERROR(__xludf.DUMMYFUNCTION("""COMPUTED_VALUE"""),0)</f>
        <v>0</v>
      </c>
      <c r="S337" s="24" t="str">
        <f ca="1">IFERROR(__xludf.DUMMYFUNCTION("""COMPUTED_VALUE"""),"Swift Swim")</f>
        <v>Swift Swim</v>
      </c>
      <c r="T337" s="24" t="str">
        <f ca="1">IFERROR(__xludf.DUMMYFUNCTION("""COMPUTED_VALUE"""),"Rock Head")</f>
        <v>Rock Head</v>
      </c>
      <c r="U337" s="24" t="str">
        <f ca="1">IFERROR(__xludf.DUMMYFUNCTION("""COMPUTED_VALUE"""),"Ancient Memory")</f>
        <v>Ancient Memory</v>
      </c>
      <c r="V337" s="25"/>
      <c r="W337" s="25"/>
      <c r="X337" s="25" t="str">
        <f ca="1">IFERROR(__xludf.DUMMYFUNCTION("""COMPUTED_VALUE"""),"Deep Sea Scale")</f>
        <v>Deep Sea Scale</v>
      </c>
      <c r="Y337" s="25" t="str">
        <f ca="1">IFERROR(__xludf.DUMMYFUNCTION("""COMPUTED_VALUE"""),"Palati City (wild)")</f>
        <v>Palati City (wild)</v>
      </c>
    </row>
    <row r="338" spans="1:25" x14ac:dyDescent="0.25">
      <c r="A338" s="15" t="str">
        <f ca="1">IFERROR(__xludf.DUMMYFUNCTION("""COMPUTED_VALUE"""),"Barboach")</f>
        <v>Barboach</v>
      </c>
      <c r="B338" s="16">
        <f ca="1">IFERROR(__xludf.DUMMYFUNCTION("""COMPUTED_VALUE"""),337)</f>
        <v>337</v>
      </c>
      <c r="C338" s="3" t="str">
        <f ca="1">IFERROR(__xludf.DUMMYFUNCTION("""COMPUTED_VALUE"""),"Water")</f>
        <v>Water</v>
      </c>
      <c r="D338" s="3" t="str">
        <f ca="1">IFERROR(__xludf.DUMMYFUNCTION("""COMPUTED_VALUE"""),"Ground")</f>
        <v>Ground</v>
      </c>
      <c r="E338" s="17">
        <f ca="1">IFERROR(__xludf.DUMMYFUNCTION("""COMPUTED_VALUE"""),50)</f>
        <v>50</v>
      </c>
      <c r="F338" s="17">
        <f ca="1">IFERROR(__xludf.DUMMYFUNCTION("""COMPUTED_VALUE"""),0)</f>
        <v>0</v>
      </c>
      <c r="G338" s="18">
        <f ca="1">IFERROR(__xludf.DUMMYFUNCTION("""COMPUTED_VALUE"""),48)</f>
        <v>48</v>
      </c>
      <c r="H338" s="18">
        <f ca="1">IFERROR(__xludf.DUMMYFUNCTION("""COMPUTED_VALUE"""),0)</f>
        <v>0</v>
      </c>
      <c r="I338" s="19">
        <f ca="1">IFERROR(__xludf.DUMMYFUNCTION("""COMPUTED_VALUE"""),43)</f>
        <v>43</v>
      </c>
      <c r="J338" s="19">
        <f ca="1">IFERROR(__xludf.DUMMYFUNCTION("""COMPUTED_VALUE"""),0)</f>
        <v>0</v>
      </c>
      <c r="K338" s="20">
        <f ca="1">IFERROR(__xludf.DUMMYFUNCTION("""COMPUTED_VALUE"""),46)</f>
        <v>46</v>
      </c>
      <c r="L338" s="20">
        <f ca="1">IFERROR(__xludf.DUMMYFUNCTION("""COMPUTED_VALUE"""),0)</f>
        <v>0</v>
      </c>
      <c r="M338" s="21">
        <f ca="1">IFERROR(__xludf.DUMMYFUNCTION("""COMPUTED_VALUE"""),41)</f>
        <v>41</v>
      </c>
      <c r="N338" s="21">
        <f ca="1">IFERROR(__xludf.DUMMYFUNCTION("""COMPUTED_VALUE"""),0)</f>
        <v>0</v>
      </c>
      <c r="O338" s="22">
        <f ca="1">IFERROR(__xludf.DUMMYFUNCTION("""COMPUTED_VALUE"""),60)</f>
        <v>60</v>
      </c>
      <c r="P338" s="22">
        <f ca="1">IFERROR(__xludf.DUMMYFUNCTION("""COMPUTED_VALUE"""),0)</f>
        <v>0</v>
      </c>
      <c r="Q338" s="23">
        <f ca="1">IFERROR(__xludf.DUMMYFUNCTION("""COMPUTED_VALUE"""),288)</f>
        <v>288</v>
      </c>
      <c r="R338" s="23">
        <f ca="1">IFERROR(__xludf.DUMMYFUNCTION("""COMPUTED_VALUE"""),0)</f>
        <v>0</v>
      </c>
      <c r="S338" s="24" t="str">
        <f ca="1">IFERROR(__xludf.DUMMYFUNCTION("""COMPUTED_VALUE"""),"Oblivious")</f>
        <v>Oblivious</v>
      </c>
      <c r="T338" s="24" t="str">
        <f ca="1">IFERROR(__xludf.DUMMYFUNCTION("""COMPUTED_VALUE"""),"Anticipation")</f>
        <v>Anticipation</v>
      </c>
      <c r="U338" s="24" t="str">
        <f ca="1">IFERROR(__xludf.DUMMYFUNCTION("""COMPUTED_VALUE"""),"Hydration")</f>
        <v>Hydration</v>
      </c>
      <c r="V338" s="25"/>
      <c r="W338" s="25"/>
      <c r="X338" s="25"/>
      <c r="Y338" s="25" t="str">
        <f ca="1">IFERROR(__xludf.DUMMYFUNCTION("""COMPUTED_VALUE"""),"Riverwalk Trail S, Kalami City (surf) Wanderer`s Woods (OR) Riverwalk Trail S, Kalami City (SR)(fish)")</f>
        <v>Riverwalk Trail S, Kalami City (surf) Wanderer`s Woods (OR) Riverwalk Trail S, Kalami City (SR)(fish)</v>
      </c>
    </row>
    <row r="339" spans="1:25" x14ac:dyDescent="0.25">
      <c r="A339" s="15" t="str">
        <f ca="1">IFERROR(__xludf.DUMMYFUNCTION("""COMPUTED_VALUE"""),"Whiscash")</f>
        <v>Whiscash</v>
      </c>
      <c r="B339" s="16">
        <f ca="1">IFERROR(__xludf.DUMMYFUNCTION("""COMPUTED_VALUE"""),338)</f>
        <v>338</v>
      </c>
      <c r="C339" s="3" t="str">
        <f ca="1">IFERROR(__xludf.DUMMYFUNCTION("""COMPUTED_VALUE"""),"Water")</f>
        <v>Water</v>
      </c>
      <c r="D339" s="3" t="str">
        <f ca="1">IFERROR(__xludf.DUMMYFUNCTION("""COMPUTED_VALUE"""),"Ground")</f>
        <v>Ground</v>
      </c>
      <c r="E339" s="17">
        <f ca="1">IFERROR(__xludf.DUMMYFUNCTION("""COMPUTED_VALUE"""),110)</f>
        <v>110</v>
      </c>
      <c r="F339" s="17">
        <f ca="1">IFERROR(__xludf.DUMMYFUNCTION("""COMPUTED_VALUE"""),0)</f>
        <v>0</v>
      </c>
      <c r="G339" s="18">
        <f ca="1">IFERROR(__xludf.DUMMYFUNCTION("""COMPUTED_VALUE"""),78)</f>
        <v>78</v>
      </c>
      <c r="H339" s="18">
        <f ca="1">IFERROR(__xludf.DUMMYFUNCTION("""COMPUTED_VALUE"""),0)</f>
        <v>0</v>
      </c>
      <c r="I339" s="19">
        <f ca="1">IFERROR(__xludf.DUMMYFUNCTION("""COMPUTED_VALUE"""),73)</f>
        <v>73</v>
      </c>
      <c r="J339" s="19">
        <f ca="1">IFERROR(__xludf.DUMMYFUNCTION("""COMPUTED_VALUE"""),0)</f>
        <v>0</v>
      </c>
      <c r="K339" s="20">
        <f ca="1">IFERROR(__xludf.DUMMYFUNCTION("""COMPUTED_VALUE"""),76)</f>
        <v>76</v>
      </c>
      <c r="L339" s="20">
        <f ca="1">IFERROR(__xludf.DUMMYFUNCTION("""COMPUTED_VALUE"""),0)</f>
        <v>0</v>
      </c>
      <c r="M339" s="21">
        <f ca="1">IFERROR(__xludf.DUMMYFUNCTION("""COMPUTED_VALUE"""),71)</f>
        <v>71</v>
      </c>
      <c r="N339" s="21">
        <f ca="1">IFERROR(__xludf.DUMMYFUNCTION("""COMPUTED_VALUE"""),0)</f>
        <v>0</v>
      </c>
      <c r="O339" s="22">
        <f ca="1">IFERROR(__xludf.DUMMYFUNCTION("""COMPUTED_VALUE"""),60)</f>
        <v>60</v>
      </c>
      <c r="P339" s="22">
        <f ca="1">IFERROR(__xludf.DUMMYFUNCTION("""COMPUTED_VALUE"""),0)</f>
        <v>0</v>
      </c>
      <c r="Q339" s="23">
        <f ca="1">IFERROR(__xludf.DUMMYFUNCTION("""COMPUTED_VALUE"""),468)</f>
        <v>468</v>
      </c>
      <c r="R339" s="23">
        <f ca="1">IFERROR(__xludf.DUMMYFUNCTION("""COMPUTED_VALUE"""),0)</f>
        <v>0</v>
      </c>
      <c r="S339" s="24" t="str">
        <f ca="1">IFERROR(__xludf.DUMMYFUNCTION("""COMPUTED_VALUE"""),"Oblivious")</f>
        <v>Oblivious</v>
      </c>
      <c r="T339" s="24" t="str">
        <f ca="1">IFERROR(__xludf.DUMMYFUNCTION("""COMPUTED_VALUE"""),"Anticipation")</f>
        <v>Anticipation</v>
      </c>
      <c r="U339" s="24" t="str">
        <f ca="1">IFERROR(__xludf.DUMMYFUNCTION("""COMPUTED_VALUE"""),"Hydration")</f>
        <v>Hydration</v>
      </c>
      <c r="V339" s="25" t="str">
        <f ca="1">IFERROR(__xludf.DUMMYFUNCTION("""COMPUTED_VALUE"""),"Lv. 30")</f>
        <v>Lv. 30</v>
      </c>
      <c r="W339" s="25"/>
      <c r="X339" s="25"/>
      <c r="Y339" s="25" t="str">
        <f ca="1">IFERROR(__xludf.DUMMYFUNCTION("""COMPUTED_VALUE"""),"Riverwalk Trail S, Kalami City (SR)(fish)")</f>
        <v>Riverwalk Trail S, Kalami City (SR)(fish)</v>
      </c>
    </row>
    <row r="340" spans="1:25" x14ac:dyDescent="0.25">
      <c r="A340" s="15" t="str">
        <f ca="1">IFERROR(__xludf.DUMMYFUNCTION("""COMPUTED_VALUE"""),"Munna")</f>
        <v>Munna</v>
      </c>
      <c r="B340" s="16">
        <f ca="1">IFERROR(__xludf.DUMMYFUNCTION("""COMPUTED_VALUE"""),339)</f>
        <v>339</v>
      </c>
      <c r="C340" s="3" t="str">
        <f ca="1">IFERROR(__xludf.DUMMYFUNCTION("""COMPUTED_VALUE"""),"Psychic")</f>
        <v>Psychic</v>
      </c>
      <c r="D340" s="3"/>
      <c r="E340" s="17">
        <f ca="1">IFERROR(__xludf.DUMMYFUNCTION("""COMPUTED_VALUE"""),76)</f>
        <v>76</v>
      </c>
      <c r="F340" s="17">
        <f ca="1">IFERROR(__xludf.DUMMYFUNCTION("""COMPUTED_VALUE"""),0)</f>
        <v>0</v>
      </c>
      <c r="G340" s="18">
        <f ca="1">IFERROR(__xludf.DUMMYFUNCTION("""COMPUTED_VALUE"""),25)</f>
        <v>25</v>
      </c>
      <c r="H340" s="18">
        <f ca="1">IFERROR(__xludf.DUMMYFUNCTION("""COMPUTED_VALUE"""),0)</f>
        <v>0</v>
      </c>
      <c r="I340" s="19">
        <f ca="1">IFERROR(__xludf.DUMMYFUNCTION("""COMPUTED_VALUE"""),45)</f>
        <v>45</v>
      </c>
      <c r="J340" s="19">
        <f ca="1">IFERROR(__xludf.DUMMYFUNCTION("""COMPUTED_VALUE"""),0)</f>
        <v>0</v>
      </c>
      <c r="K340" s="20">
        <f ca="1">IFERROR(__xludf.DUMMYFUNCTION("""COMPUTED_VALUE"""),67)</f>
        <v>67</v>
      </c>
      <c r="L340" s="20">
        <f ca="1">IFERROR(__xludf.DUMMYFUNCTION("""COMPUTED_VALUE"""),0)</f>
        <v>0</v>
      </c>
      <c r="M340" s="21">
        <f ca="1">IFERROR(__xludf.DUMMYFUNCTION("""COMPUTED_VALUE"""),55)</f>
        <v>55</v>
      </c>
      <c r="N340" s="21">
        <f ca="1">IFERROR(__xludf.DUMMYFUNCTION("""COMPUTED_VALUE"""),0)</f>
        <v>0</v>
      </c>
      <c r="O340" s="22">
        <f ca="1">IFERROR(__xludf.DUMMYFUNCTION("""COMPUTED_VALUE"""),24)</f>
        <v>24</v>
      </c>
      <c r="P340" s="22">
        <f ca="1">IFERROR(__xludf.DUMMYFUNCTION("""COMPUTED_VALUE"""),0)</f>
        <v>0</v>
      </c>
      <c r="Q340" s="23">
        <f ca="1">IFERROR(__xludf.DUMMYFUNCTION("""COMPUTED_VALUE"""),292)</f>
        <v>292</v>
      </c>
      <c r="R340" s="23">
        <f ca="1">IFERROR(__xludf.DUMMYFUNCTION("""COMPUTED_VALUE"""),0)</f>
        <v>0</v>
      </c>
      <c r="S340" s="24" t="str">
        <f ca="1">IFERROR(__xludf.DUMMYFUNCTION("""COMPUTED_VALUE"""),"Forewarn")</f>
        <v>Forewarn</v>
      </c>
      <c r="T340" s="24" t="str">
        <f ca="1">IFERROR(__xludf.DUMMYFUNCTION("""COMPUTED_VALUE"""),"Synchronize")</f>
        <v>Synchronize</v>
      </c>
      <c r="U340" s="24" t="str">
        <f ca="1">IFERROR(__xludf.DUMMYFUNCTION("""COMPUTED_VALUE"""),"Telepathy")</f>
        <v>Telepathy</v>
      </c>
      <c r="V340" s="25"/>
      <c r="W340" s="25"/>
      <c r="X340" s="25"/>
      <c r="Y340" s="25" t="str">
        <f ca="1">IFERROR(__xludf.DUMMYFUNCTION("""COMPUTED_VALUE"""),"Acrisia City, Corrin Crossing, Palati City (wild)")</f>
        <v>Acrisia City, Corrin Crossing, Palati City (wild)</v>
      </c>
    </row>
    <row r="341" spans="1:25" x14ac:dyDescent="0.25">
      <c r="A341" s="15" t="str">
        <f ca="1">IFERROR(__xludf.DUMMYFUNCTION("""COMPUTED_VALUE"""),"Musharna")</f>
        <v>Musharna</v>
      </c>
      <c r="B341" s="16">
        <f ca="1">IFERROR(__xludf.DUMMYFUNCTION("""COMPUTED_VALUE"""),340)</f>
        <v>340</v>
      </c>
      <c r="C341" s="3" t="str">
        <f ca="1">IFERROR(__xludf.DUMMYFUNCTION("""COMPUTED_VALUE"""),"Psychic")</f>
        <v>Psychic</v>
      </c>
      <c r="D341" s="3"/>
      <c r="E341" s="17">
        <f ca="1">IFERROR(__xludf.DUMMYFUNCTION("""COMPUTED_VALUE"""),116)</f>
        <v>116</v>
      </c>
      <c r="F341" s="17">
        <f ca="1">IFERROR(__xludf.DUMMYFUNCTION("""COMPUTED_VALUE"""),0)</f>
        <v>0</v>
      </c>
      <c r="G341" s="18">
        <f ca="1">IFERROR(__xludf.DUMMYFUNCTION("""COMPUTED_VALUE"""),55)</f>
        <v>55</v>
      </c>
      <c r="H341" s="18">
        <f ca="1">IFERROR(__xludf.DUMMYFUNCTION("""COMPUTED_VALUE"""),0)</f>
        <v>0</v>
      </c>
      <c r="I341" s="19">
        <f ca="1">IFERROR(__xludf.DUMMYFUNCTION("""COMPUTED_VALUE"""),85)</f>
        <v>85</v>
      </c>
      <c r="J341" s="19">
        <f ca="1">IFERROR(__xludf.DUMMYFUNCTION("""COMPUTED_VALUE"""),0)</f>
        <v>0</v>
      </c>
      <c r="K341" s="20">
        <f ca="1">IFERROR(__xludf.DUMMYFUNCTION("""COMPUTED_VALUE"""),107)</f>
        <v>107</v>
      </c>
      <c r="L341" s="20">
        <f ca="1">IFERROR(__xludf.DUMMYFUNCTION("""COMPUTED_VALUE"""),0)</f>
        <v>0</v>
      </c>
      <c r="M341" s="21">
        <f ca="1">IFERROR(__xludf.DUMMYFUNCTION("""COMPUTED_VALUE"""),95)</f>
        <v>95</v>
      </c>
      <c r="N341" s="21">
        <f ca="1">IFERROR(__xludf.DUMMYFUNCTION("""COMPUTED_VALUE"""),0)</f>
        <v>0</v>
      </c>
      <c r="O341" s="22">
        <f ca="1">IFERROR(__xludf.DUMMYFUNCTION("""COMPUTED_VALUE"""),29)</f>
        <v>29</v>
      </c>
      <c r="P341" s="22">
        <f ca="1">IFERROR(__xludf.DUMMYFUNCTION("""COMPUTED_VALUE"""),0)</f>
        <v>0</v>
      </c>
      <c r="Q341" s="23">
        <f ca="1">IFERROR(__xludf.DUMMYFUNCTION("""COMPUTED_VALUE"""),487)</f>
        <v>487</v>
      </c>
      <c r="R341" s="23">
        <f ca="1">IFERROR(__xludf.DUMMYFUNCTION("""COMPUTED_VALUE"""),0)</f>
        <v>0</v>
      </c>
      <c r="S341" s="24" t="str">
        <f ca="1">IFERROR(__xludf.DUMMYFUNCTION("""COMPUTED_VALUE"""),"Forewarn")</f>
        <v>Forewarn</v>
      </c>
      <c r="T341" s="24" t="str">
        <f ca="1">IFERROR(__xludf.DUMMYFUNCTION("""COMPUTED_VALUE"""),"Synchronize")</f>
        <v>Synchronize</v>
      </c>
      <c r="U341" s="24" t="str">
        <f ca="1">IFERROR(__xludf.DUMMYFUNCTION("""COMPUTED_VALUE"""),"Telepathy")</f>
        <v>Telepathy</v>
      </c>
      <c r="V341" s="25" t="str">
        <f ca="1">IFERROR(__xludf.DUMMYFUNCTION("""COMPUTED_VALUE"""),"Moon Stone")</f>
        <v>Moon Stone</v>
      </c>
      <c r="W341" s="25"/>
      <c r="X341" s="25"/>
      <c r="Y341" s="25" t="str">
        <f ca="1">IFERROR(__xludf.DUMMYFUNCTION("""COMPUTED_VALUE"""),"Corrin Crossing (wild)")</f>
        <v>Corrin Crossing (wild)</v>
      </c>
    </row>
    <row r="342" spans="1:25" x14ac:dyDescent="0.25">
      <c r="A342" s="15" t="str">
        <f ca="1">IFERROR(__xludf.DUMMYFUNCTION("""COMPUTED_VALUE"""),"Kecleon")</f>
        <v>Kecleon</v>
      </c>
      <c r="B342" s="16">
        <f ca="1">IFERROR(__xludf.DUMMYFUNCTION("""COMPUTED_VALUE"""),341)</f>
        <v>341</v>
      </c>
      <c r="C342" s="3" t="str">
        <f ca="1">IFERROR(__xludf.DUMMYFUNCTION("""COMPUTED_VALUE"""),"Normal")</f>
        <v>Normal</v>
      </c>
      <c r="D342" s="3"/>
      <c r="E342" s="17">
        <f ca="1">IFERROR(__xludf.DUMMYFUNCTION("""COMPUTED_VALUE"""),75)</f>
        <v>75</v>
      </c>
      <c r="F342" s="17">
        <f ca="1">IFERROR(__xludf.DUMMYFUNCTION("""COMPUTED_VALUE"""),15)</f>
        <v>15</v>
      </c>
      <c r="G342" s="18">
        <f ca="1">IFERROR(__xludf.DUMMYFUNCTION("""COMPUTED_VALUE"""),90)</f>
        <v>90</v>
      </c>
      <c r="H342" s="18">
        <f ca="1">IFERROR(__xludf.DUMMYFUNCTION("""COMPUTED_VALUE"""),0)</f>
        <v>0</v>
      </c>
      <c r="I342" s="19">
        <f ca="1">IFERROR(__xludf.DUMMYFUNCTION("""COMPUTED_VALUE"""),75)</f>
        <v>75</v>
      </c>
      <c r="J342" s="19">
        <f ca="1">IFERROR(__xludf.DUMMYFUNCTION("""COMPUTED_VALUE"""),5)</f>
        <v>5</v>
      </c>
      <c r="K342" s="20">
        <f ca="1">IFERROR(__xludf.DUMMYFUNCTION("""COMPUTED_VALUE"""),60)</f>
        <v>60</v>
      </c>
      <c r="L342" s="20">
        <f ca="1">IFERROR(__xludf.DUMMYFUNCTION("""COMPUTED_VALUE"""),0)</f>
        <v>0</v>
      </c>
      <c r="M342" s="21">
        <f ca="1">IFERROR(__xludf.DUMMYFUNCTION("""COMPUTED_VALUE"""),120)</f>
        <v>120</v>
      </c>
      <c r="N342" s="21">
        <f ca="1">IFERROR(__xludf.DUMMYFUNCTION("""COMPUTED_VALUE"""),0)</f>
        <v>0</v>
      </c>
      <c r="O342" s="22">
        <f ca="1">IFERROR(__xludf.DUMMYFUNCTION("""COMPUTED_VALUE"""),30)</f>
        <v>30</v>
      </c>
      <c r="P342" s="22">
        <f ca="1">IFERROR(__xludf.DUMMYFUNCTION("""COMPUTED_VALUE"""),-10)</f>
        <v>-10</v>
      </c>
      <c r="Q342" s="23">
        <f ca="1">IFERROR(__xludf.DUMMYFUNCTION("""COMPUTED_VALUE"""),450)</f>
        <v>450</v>
      </c>
      <c r="R342" s="23">
        <f ca="1">IFERROR(__xludf.DUMMYFUNCTION("""COMPUTED_VALUE"""),10)</f>
        <v>10</v>
      </c>
      <c r="S342" s="24" t="str">
        <f ca="1">IFERROR(__xludf.DUMMYFUNCTION("""COMPUTED_VALUE"""),"Color Change")</f>
        <v>Color Change</v>
      </c>
      <c r="T342" s="24" t="str">
        <f ca="1">IFERROR(__xludf.DUMMYFUNCTION("""COMPUTED_VALUE"""),"Protean")</f>
        <v>Protean</v>
      </c>
      <c r="U342" s="24" t="str">
        <f ca="1">IFERROR(__xludf.DUMMYFUNCTION("""COMPUTED_VALUE"""),"Prism Armor")</f>
        <v>Prism Armor</v>
      </c>
      <c r="V342" s="25"/>
      <c r="W342" s="25"/>
      <c r="X342" s="25"/>
      <c r="Y342" s="25" t="str">
        <f ca="1">IFERROR(__xludf.DUMMYFUNCTION("""COMPUTED_VALUE"""),"Sea of Vulcai (wild)")</f>
        <v>Sea of Vulcai (wild)</v>
      </c>
    </row>
    <row r="343" spans="1:25" x14ac:dyDescent="0.25">
      <c r="A343" s="15" t="str">
        <f ca="1">IFERROR(__xludf.DUMMYFUNCTION("""COMPUTED_VALUE"""),"Magikarp")</f>
        <v>Magikarp</v>
      </c>
      <c r="B343" s="16">
        <f ca="1">IFERROR(__xludf.DUMMYFUNCTION("""COMPUTED_VALUE"""),342)</f>
        <v>342</v>
      </c>
      <c r="C343" s="3" t="str">
        <f ca="1">IFERROR(__xludf.DUMMYFUNCTION("""COMPUTED_VALUE"""),"Water")</f>
        <v>Water</v>
      </c>
      <c r="D343" s="3"/>
      <c r="E343" s="17">
        <f ca="1">IFERROR(__xludf.DUMMYFUNCTION("""COMPUTED_VALUE"""),20)</f>
        <v>20</v>
      </c>
      <c r="F343" s="17">
        <f ca="1">IFERROR(__xludf.DUMMYFUNCTION("""COMPUTED_VALUE"""),0)</f>
        <v>0</v>
      </c>
      <c r="G343" s="18">
        <f ca="1">IFERROR(__xludf.DUMMYFUNCTION("""COMPUTED_VALUE"""),10)</f>
        <v>10</v>
      </c>
      <c r="H343" s="18">
        <f ca="1">IFERROR(__xludf.DUMMYFUNCTION("""COMPUTED_VALUE"""),0)</f>
        <v>0</v>
      </c>
      <c r="I343" s="19">
        <f ca="1">IFERROR(__xludf.DUMMYFUNCTION("""COMPUTED_VALUE"""),55)</f>
        <v>55</v>
      </c>
      <c r="J343" s="19">
        <f ca="1">IFERROR(__xludf.DUMMYFUNCTION("""COMPUTED_VALUE"""),0)</f>
        <v>0</v>
      </c>
      <c r="K343" s="20">
        <f ca="1">IFERROR(__xludf.DUMMYFUNCTION("""COMPUTED_VALUE"""),15)</f>
        <v>15</v>
      </c>
      <c r="L343" s="20">
        <f ca="1">IFERROR(__xludf.DUMMYFUNCTION("""COMPUTED_VALUE"""),0)</f>
        <v>0</v>
      </c>
      <c r="M343" s="21">
        <f ca="1">IFERROR(__xludf.DUMMYFUNCTION("""COMPUTED_VALUE"""),20)</f>
        <v>20</v>
      </c>
      <c r="N343" s="21">
        <f ca="1">IFERROR(__xludf.DUMMYFUNCTION("""COMPUTED_VALUE"""),0)</f>
        <v>0</v>
      </c>
      <c r="O343" s="22">
        <f ca="1">IFERROR(__xludf.DUMMYFUNCTION("""COMPUTED_VALUE"""),80)</f>
        <v>80</v>
      </c>
      <c r="P343" s="22">
        <f ca="1">IFERROR(__xludf.DUMMYFUNCTION("""COMPUTED_VALUE"""),0)</f>
        <v>0</v>
      </c>
      <c r="Q343" s="23">
        <f ca="1">IFERROR(__xludf.DUMMYFUNCTION("""COMPUTED_VALUE"""),200)</f>
        <v>200</v>
      </c>
      <c r="R343" s="23">
        <f ca="1">IFERROR(__xludf.DUMMYFUNCTION("""COMPUTED_VALUE"""),0)</f>
        <v>0</v>
      </c>
      <c r="S343" s="24" t="str">
        <f ca="1">IFERROR(__xludf.DUMMYFUNCTION("""COMPUTED_VALUE"""),"Swift Swim")</f>
        <v>Swift Swim</v>
      </c>
      <c r="T343" s="25"/>
      <c r="U343" s="24" t="str">
        <f ca="1">IFERROR(__xludf.DUMMYFUNCTION("""COMPUTED_VALUE"""),"Rattled")</f>
        <v>Rattled</v>
      </c>
      <c r="V343" s="25"/>
      <c r="W343" s="25"/>
      <c r="X343" s="25"/>
      <c r="Y343" s="25" t="str">
        <f ca="1">IFERROR(__xludf.DUMMYFUNCTION("""COMPUTED_VALUE"""),"Acrisia City, Acrisia Mountains, Riverwalk Trail N, Riverwalk Trail S, Kalami City, Wanderer`s Woods, Pythios Town, Pythios Cemetery (OR)(fish) Froslass Cavern, Port Pello, Sofos City, Sea of Asteri, Marmaro Island, Myrrini  Island, Sea of Vulcai, Fresco "&amp;"Isles, Palati City")</f>
        <v>Acrisia City, Acrisia Mountains, Riverwalk Trail N, Riverwalk Trail S, Kalami City, Wanderer`s Woods, Pythios Town, Pythios Cemetery (OR)(fish) Froslass Cavern, Port Pello, Sofos City, Sea of Asteri, Marmaro Island, Myrrini  Island, Sea of Vulcai, Fresco Isles, Palati City</v>
      </c>
    </row>
    <row r="344" spans="1:25" x14ac:dyDescent="0.25">
      <c r="A344" s="15" t="str">
        <f ca="1">IFERROR(__xludf.DUMMYFUNCTION("""COMPUTED_VALUE"""),"Gyarados")</f>
        <v>Gyarados</v>
      </c>
      <c r="B344" s="16">
        <f ca="1">IFERROR(__xludf.DUMMYFUNCTION("""COMPUTED_VALUE"""),343)</f>
        <v>343</v>
      </c>
      <c r="C344" s="3" t="str">
        <f ca="1">IFERROR(__xludf.DUMMYFUNCTION("""COMPUTED_VALUE"""),"Water")</f>
        <v>Water</v>
      </c>
      <c r="D344" s="3" t="str">
        <f ca="1">IFERROR(__xludf.DUMMYFUNCTION("""COMPUTED_VALUE"""),"Flying")</f>
        <v>Flying</v>
      </c>
      <c r="E344" s="17">
        <f ca="1">IFERROR(__xludf.DUMMYFUNCTION("""COMPUTED_VALUE"""),95)</f>
        <v>95</v>
      </c>
      <c r="F344" s="17">
        <f ca="1">IFERROR(__xludf.DUMMYFUNCTION("""COMPUTED_VALUE"""),0)</f>
        <v>0</v>
      </c>
      <c r="G344" s="18">
        <f ca="1">IFERROR(__xludf.DUMMYFUNCTION("""COMPUTED_VALUE"""),125)</f>
        <v>125</v>
      </c>
      <c r="H344" s="18">
        <f ca="1">IFERROR(__xludf.DUMMYFUNCTION("""COMPUTED_VALUE"""),0)</f>
        <v>0</v>
      </c>
      <c r="I344" s="19">
        <f ca="1">IFERROR(__xludf.DUMMYFUNCTION("""COMPUTED_VALUE"""),79)</f>
        <v>79</v>
      </c>
      <c r="J344" s="19">
        <f ca="1">IFERROR(__xludf.DUMMYFUNCTION("""COMPUTED_VALUE"""),0)</f>
        <v>0</v>
      </c>
      <c r="K344" s="20">
        <f ca="1">IFERROR(__xludf.DUMMYFUNCTION("""COMPUTED_VALUE"""),60)</f>
        <v>60</v>
      </c>
      <c r="L344" s="20">
        <f ca="1">IFERROR(__xludf.DUMMYFUNCTION("""COMPUTED_VALUE"""),0)</f>
        <v>0</v>
      </c>
      <c r="M344" s="21">
        <f ca="1">IFERROR(__xludf.DUMMYFUNCTION("""COMPUTED_VALUE"""),100)</f>
        <v>100</v>
      </c>
      <c r="N344" s="21">
        <f ca="1">IFERROR(__xludf.DUMMYFUNCTION("""COMPUTED_VALUE"""),0)</f>
        <v>0</v>
      </c>
      <c r="O344" s="22">
        <f ca="1">IFERROR(__xludf.DUMMYFUNCTION("""COMPUTED_VALUE"""),81)</f>
        <v>81</v>
      </c>
      <c r="P344" s="22">
        <f ca="1">IFERROR(__xludf.DUMMYFUNCTION("""COMPUTED_VALUE"""),0)</f>
        <v>0</v>
      </c>
      <c r="Q344" s="23">
        <f ca="1">IFERROR(__xludf.DUMMYFUNCTION("""COMPUTED_VALUE"""),540)</f>
        <v>540</v>
      </c>
      <c r="R344" s="23">
        <f ca="1">IFERROR(__xludf.DUMMYFUNCTION("""COMPUTED_VALUE"""),0)</f>
        <v>0</v>
      </c>
      <c r="S344" s="24" t="str">
        <f ca="1">IFERROR(__xludf.DUMMYFUNCTION("""COMPUTED_VALUE"""),"Intimidate")</f>
        <v>Intimidate</v>
      </c>
      <c r="T344" s="25"/>
      <c r="U344" s="24" t="str">
        <f ca="1">IFERROR(__xludf.DUMMYFUNCTION("""COMPUTED_VALUE"""),"Moxie")</f>
        <v>Moxie</v>
      </c>
      <c r="V344" s="25" t="str">
        <f ca="1">IFERROR(__xludf.DUMMYFUNCTION("""COMPUTED_VALUE"""),"Lv. 20")</f>
        <v>Lv. 20</v>
      </c>
      <c r="W344" s="25"/>
      <c r="X344" s="25"/>
      <c r="Y344" s="25" t="str">
        <f ca="1">IFERROR(__xludf.DUMMYFUNCTION("""COMPUTED_VALUE"""),"?")</f>
        <v>?</v>
      </c>
    </row>
    <row r="345" spans="1:25" x14ac:dyDescent="0.25">
      <c r="A345" s="15" t="str">
        <f ca="1">IFERROR(__xludf.DUMMYFUNCTION("""COMPUTED_VALUE"""),"Fomantis")</f>
        <v>Fomantis</v>
      </c>
      <c r="B345" s="16">
        <f ca="1">IFERROR(__xludf.DUMMYFUNCTION("""COMPUTED_VALUE"""),344)</f>
        <v>344</v>
      </c>
      <c r="C345" s="3" t="str">
        <f ca="1">IFERROR(__xludf.DUMMYFUNCTION("""COMPUTED_VALUE"""),"Grass")</f>
        <v>Grass</v>
      </c>
      <c r="D345" s="3"/>
      <c r="E345" s="17">
        <f ca="1">IFERROR(__xludf.DUMMYFUNCTION("""COMPUTED_VALUE"""),50)</f>
        <v>50</v>
      </c>
      <c r="F345" s="17">
        <f ca="1">IFERROR(__xludf.DUMMYFUNCTION("""COMPUTED_VALUE"""),10)</f>
        <v>10</v>
      </c>
      <c r="G345" s="18">
        <f ca="1">IFERROR(__xludf.DUMMYFUNCTION("""COMPUTED_VALUE"""),55)</f>
        <v>55</v>
      </c>
      <c r="H345" s="18">
        <f ca="1">IFERROR(__xludf.DUMMYFUNCTION("""COMPUTED_VALUE"""),0)</f>
        <v>0</v>
      </c>
      <c r="I345" s="19">
        <f ca="1">IFERROR(__xludf.DUMMYFUNCTION("""COMPUTED_VALUE"""),40)</f>
        <v>40</v>
      </c>
      <c r="J345" s="19">
        <f ca="1">IFERROR(__xludf.DUMMYFUNCTION("""COMPUTED_VALUE"""),5)</f>
        <v>5</v>
      </c>
      <c r="K345" s="20">
        <f ca="1">IFERROR(__xludf.DUMMYFUNCTION("""COMPUTED_VALUE"""),50)</f>
        <v>50</v>
      </c>
      <c r="L345" s="20">
        <f ca="1">IFERROR(__xludf.DUMMYFUNCTION("""COMPUTED_VALUE"""),0)</f>
        <v>0</v>
      </c>
      <c r="M345" s="21">
        <f ca="1">IFERROR(__xludf.DUMMYFUNCTION("""COMPUTED_VALUE"""),40)</f>
        <v>40</v>
      </c>
      <c r="N345" s="21">
        <f ca="1">IFERROR(__xludf.DUMMYFUNCTION("""COMPUTED_VALUE"""),5)</f>
        <v>5</v>
      </c>
      <c r="O345" s="22">
        <f ca="1">IFERROR(__xludf.DUMMYFUNCTION("""COMPUTED_VALUE"""),35)</f>
        <v>35</v>
      </c>
      <c r="P345" s="22">
        <f ca="1">IFERROR(__xludf.DUMMYFUNCTION("""COMPUTED_VALUE"""),0)</f>
        <v>0</v>
      </c>
      <c r="Q345" s="23">
        <f ca="1">IFERROR(__xludf.DUMMYFUNCTION("""COMPUTED_VALUE"""),270)</f>
        <v>270</v>
      </c>
      <c r="R345" s="23">
        <f ca="1">IFERROR(__xludf.DUMMYFUNCTION("""COMPUTED_VALUE"""),20)</f>
        <v>20</v>
      </c>
      <c r="S345" s="24" t="str">
        <f ca="1">IFERROR(__xludf.DUMMYFUNCTION("""COMPUTED_VALUE"""),"Leaf Guard")</f>
        <v>Leaf Guard</v>
      </c>
      <c r="T345" s="24" t="str">
        <f ca="1">IFERROR(__xludf.DUMMYFUNCTION("""COMPUTED_VALUE"""),"Contrary")</f>
        <v>Contrary</v>
      </c>
      <c r="U345" s="24" t="str">
        <f ca="1">IFERROR(__xludf.DUMMYFUNCTION("""COMPUTED_VALUE"""),"Sharpness")</f>
        <v>Sharpness</v>
      </c>
      <c r="V345" s="25"/>
      <c r="W345" s="25"/>
      <c r="X345" s="25" t="str">
        <f ca="1">IFERROR(__xludf.DUMMYFUNCTION("""COMPUTED_VALUE"""),"Miracle Seed")</f>
        <v>Miracle Seed</v>
      </c>
      <c r="Y345" s="25" t="str">
        <f ca="1">IFERROR(__xludf.DUMMYFUNCTION("""COMPUTED_VALUE"""),"Bronze Fields S, Erinys Path E, Sea of Asteri, Kaptara Island (wild)")</f>
        <v>Bronze Fields S, Erinys Path E, Sea of Asteri, Kaptara Island (wild)</v>
      </c>
    </row>
    <row r="346" spans="1:25" x14ac:dyDescent="0.25">
      <c r="A346" s="15" t="str">
        <f ca="1">IFERROR(__xludf.DUMMYFUNCTION("""COMPUTED_VALUE"""),"Lurantis")</f>
        <v>Lurantis</v>
      </c>
      <c r="B346" s="16">
        <f ca="1">IFERROR(__xludf.DUMMYFUNCTION("""COMPUTED_VALUE"""),345)</f>
        <v>345</v>
      </c>
      <c r="C346" s="3" t="str">
        <f ca="1">IFERROR(__xludf.DUMMYFUNCTION("""COMPUTED_VALUE"""),"Grass")</f>
        <v>Grass</v>
      </c>
      <c r="D346" s="3"/>
      <c r="E346" s="17">
        <f ca="1">IFERROR(__xludf.DUMMYFUNCTION("""COMPUTED_VALUE"""),80)</f>
        <v>80</v>
      </c>
      <c r="F346" s="17">
        <f ca="1">IFERROR(__xludf.DUMMYFUNCTION("""COMPUTED_VALUE"""),10)</f>
        <v>10</v>
      </c>
      <c r="G346" s="18">
        <f ca="1">IFERROR(__xludf.DUMMYFUNCTION("""COMPUTED_VALUE"""),105)</f>
        <v>105</v>
      </c>
      <c r="H346" s="18">
        <f ca="1">IFERROR(__xludf.DUMMYFUNCTION("""COMPUTED_VALUE"""),0)</f>
        <v>0</v>
      </c>
      <c r="I346" s="19">
        <f ca="1">IFERROR(__xludf.DUMMYFUNCTION("""COMPUTED_VALUE"""),95)</f>
        <v>95</v>
      </c>
      <c r="J346" s="19">
        <f ca="1">IFERROR(__xludf.DUMMYFUNCTION("""COMPUTED_VALUE"""),5)</f>
        <v>5</v>
      </c>
      <c r="K346" s="20">
        <f ca="1">IFERROR(__xludf.DUMMYFUNCTION("""COMPUTED_VALUE"""),80)</f>
        <v>80</v>
      </c>
      <c r="L346" s="20">
        <f ca="1">IFERROR(__xludf.DUMMYFUNCTION("""COMPUTED_VALUE"""),0)</f>
        <v>0</v>
      </c>
      <c r="M346" s="21">
        <f ca="1">IFERROR(__xludf.DUMMYFUNCTION("""COMPUTED_VALUE"""),95)</f>
        <v>95</v>
      </c>
      <c r="N346" s="21">
        <f ca="1">IFERROR(__xludf.DUMMYFUNCTION("""COMPUTED_VALUE"""),5)</f>
        <v>5</v>
      </c>
      <c r="O346" s="22">
        <f ca="1">IFERROR(__xludf.DUMMYFUNCTION("""COMPUTED_VALUE"""),45)</f>
        <v>45</v>
      </c>
      <c r="P346" s="22">
        <f ca="1">IFERROR(__xludf.DUMMYFUNCTION("""COMPUTED_VALUE"""),0)</f>
        <v>0</v>
      </c>
      <c r="Q346" s="23">
        <f ca="1">IFERROR(__xludf.DUMMYFUNCTION("""COMPUTED_VALUE"""),500)</f>
        <v>500</v>
      </c>
      <c r="R346" s="23">
        <f ca="1">IFERROR(__xludf.DUMMYFUNCTION("""COMPUTED_VALUE"""),20)</f>
        <v>20</v>
      </c>
      <c r="S346" s="24" t="str">
        <f ca="1">IFERROR(__xludf.DUMMYFUNCTION("""COMPUTED_VALUE"""),"Leaf Guard")</f>
        <v>Leaf Guard</v>
      </c>
      <c r="T346" s="24" t="str">
        <f ca="1">IFERROR(__xludf.DUMMYFUNCTION("""COMPUTED_VALUE"""),"Contrary")</f>
        <v>Contrary</v>
      </c>
      <c r="U346" s="24" t="str">
        <f ca="1">IFERROR(__xludf.DUMMYFUNCTION("""COMPUTED_VALUE"""),"Sharpness")</f>
        <v>Sharpness</v>
      </c>
      <c r="V346" s="25" t="str">
        <f ca="1">IFERROR(__xludf.DUMMYFUNCTION("""COMPUTED_VALUE"""),"Lv. 29, Day")</f>
        <v>Lv. 29, Day</v>
      </c>
      <c r="W346" s="25"/>
      <c r="X346" s="25" t="str">
        <f ca="1">IFERROR(__xludf.DUMMYFUNCTION("""COMPUTED_VALUE"""),"Miracle Seed")</f>
        <v>Miracle Seed</v>
      </c>
      <c r="Y346" s="25" t="str">
        <f ca="1">IFERROR(__xludf.DUMMYFUNCTION("""COMPUTED_VALUE"""),"Kaptara Island, Areios Hideout (wild)")</f>
        <v>Kaptara Island, Areios Hideout (wild)</v>
      </c>
    </row>
    <row r="347" spans="1:25" x14ac:dyDescent="0.25">
      <c r="A347" s="15" t="str">
        <f ca="1">IFERROR(__xludf.DUMMYFUNCTION("""COMPUTED_VALUE"""),"Oranguru")</f>
        <v>Oranguru</v>
      </c>
      <c r="B347" s="16">
        <f ca="1">IFERROR(__xludf.DUMMYFUNCTION("""COMPUTED_VALUE"""),346)</f>
        <v>346</v>
      </c>
      <c r="C347" s="3" t="str">
        <f ca="1">IFERROR(__xludf.DUMMYFUNCTION("""COMPUTED_VALUE"""),"Normal")</f>
        <v>Normal</v>
      </c>
      <c r="D347" s="3" t="str">
        <f ca="1">IFERROR(__xludf.DUMMYFUNCTION("""COMPUTED_VALUE"""),"Psychic")</f>
        <v>Psychic</v>
      </c>
      <c r="E347" s="17">
        <f ca="1">IFERROR(__xludf.DUMMYFUNCTION("""COMPUTED_VALUE"""),100)</f>
        <v>100</v>
      </c>
      <c r="F347" s="17">
        <f ca="1">IFERROR(__xludf.DUMMYFUNCTION("""COMPUTED_VALUE"""),10)</f>
        <v>10</v>
      </c>
      <c r="G347" s="18">
        <f ca="1">IFERROR(__xludf.DUMMYFUNCTION("""COMPUTED_VALUE"""),60)</f>
        <v>60</v>
      </c>
      <c r="H347" s="18">
        <f ca="1">IFERROR(__xludf.DUMMYFUNCTION("""COMPUTED_VALUE"""),0)</f>
        <v>0</v>
      </c>
      <c r="I347" s="19">
        <f ca="1">IFERROR(__xludf.DUMMYFUNCTION("""COMPUTED_VALUE"""),80)</f>
        <v>80</v>
      </c>
      <c r="J347" s="19">
        <f ca="1">IFERROR(__xludf.DUMMYFUNCTION("""COMPUTED_VALUE"""),0)</f>
        <v>0</v>
      </c>
      <c r="K347" s="20">
        <f ca="1">IFERROR(__xludf.DUMMYFUNCTION("""COMPUTED_VALUE"""),90)</f>
        <v>90</v>
      </c>
      <c r="L347" s="20">
        <f ca="1">IFERROR(__xludf.DUMMYFUNCTION("""COMPUTED_VALUE"""),0)</f>
        <v>0</v>
      </c>
      <c r="M347" s="21">
        <f ca="1">IFERROR(__xludf.DUMMYFUNCTION("""COMPUTED_VALUE"""),110)</f>
        <v>110</v>
      </c>
      <c r="N347" s="21">
        <f ca="1">IFERROR(__xludf.DUMMYFUNCTION("""COMPUTED_VALUE"""),0)</f>
        <v>0</v>
      </c>
      <c r="O347" s="22">
        <f ca="1">IFERROR(__xludf.DUMMYFUNCTION("""COMPUTED_VALUE"""),60)</f>
        <v>60</v>
      </c>
      <c r="P347" s="22">
        <f ca="1">IFERROR(__xludf.DUMMYFUNCTION("""COMPUTED_VALUE"""),0)</f>
        <v>0</v>
      </c>
      <c r="Q347" s="23">
        <f ca="1">IFERROR(__xludf.DUMMYFUNCTION("""COMPUTED_VALUE"""),500)</f>
        <v>500</v>
      </c>
      <c r="R347" s="23">
        <f ca="1">IFERROR(__xludf.DUMMYFUNCTION("""COMPUTED_VALUE"""),10)</f>
        <v>10</v>
      </c>
      <c r="S347" s="24" t="str">
        <f ca="1">IFERROR(__xludf.DUMMYFUNCTION("""COMPUTED_VALUE"""),"Inner Focus")</f>
        <v>Inner Focus</v>
      </c>
      <c r="T347" s="24" t="str">
        <f ca="1">IFERROR(__xludf.DUMMYFUNCTION("""COMPUTED_VALUE"""),"Telepathy")</f>
        <v>Telepathy</v>
      </c>
      <c r="U347" s="24" t="str">
        <f ca="1">IFERROR(__xludf.DUMMYFUNCTION("""COMPUTED_VALUE"""),"Symbiosis")</f>
        <v>Symbiosis</v>
      </c>
      <c r="V347" s="25"/>
      <c r="W347" s="25"/>
      <c r="X347" s="25"/>
      <c r="Y347" s="25" t="str">
        <f ca="1">IFERROR(__xludf.DUMMYFUNCTION("""COMPUTED_VALUE"""),"Kalami City, Kaptara Island (wild)")</f>
        <v>Kalami City, Kaptara Island (wild)</v>
      </c>
    </row>
    <row r="348" spans="1:25" x14ac:dyDescent="0.25">
      <c r="A348" s="15" t="str">
        <f ca="1">IFERROR(__xludf.DUMMYFUNCTION("""COMPUTED_VALUE"""),"Passimian")</f>
        <v>Passimian</v>
      </c>
      <c r="B348" s="16">
        <f ca="1">IFERROR(__xludf.DUMMYFUNCTION("""COMPUTED_VALUE"""),347)</f>
        <v>347</v>
      </c>
      <c r="C348" s="3" t="str">
        <f ca="1">IFERROR(__xludf.DUMMYFUNCTION("""COMPUTED_VALUE"""),"Normal")</f>
        <v>Normal</v>
      </c>
      <c r="D348" s="3" t="str">
        <f ca="1">IFERROR(__xludf.DUMMYFUNCTION("""COMPUTED_VALUE"""),"Fighting")</f>
        <v>Fighting</v>
      </c>
      <c r="E348" s="17">
        <f ca="1">IFERROR(__xludf.DUMMYFUNCTION("""COMPUTED_VALUE"""),90)</f>
        <v>90</v>
      </c>
      <c r="F348" s="17">
        <f ca="1">IFERROR(__xludf.DUMMYFUNCTION("""COMPUTED_VALUE"""),-10)</f>
        <v>-10</v>
      </c>
      <c r="G348" s="18">
        <f ca="1">IFERROR(__xludf.DUMMYFUNCTION("""COMPUTED_VALUE"""),120)</f>
        <v>120</v>
      </c>
      <c r="H348" s="18">
        <f ca="1">IFERROR(__xludf.DUMMYFUNCTION("""COMPUTED_VALUE"""),0)</f>
        <v>0</v>
      </c>
      <c r="I348" s="19">
        <f ca="1">IFERROR(__xludf.DUMMYFUNCTION("""COMPUTED_VALUE"""),95)</f>
        <v>95</v>
      </c>
      <c r="J348" s="19">
        <f ca="1">IFERROR(__xludf.DUMMYFUNCTION("""COMPUTED_VALUE"""),5)</f>
        <v>5</v>
      </c>
      <c r="K348" s="20">
        <f ca="1">IFERROR(__xludf.DUMMYFUNCTION("""COMPUTED_VALUE"""),40)</f>
        <v>40</v>
      </c>
      <c r="L348" s="20">
        <f ca="1">IFERROR(__xludf.DUMMYFUNCTION("""COMPUTED_VALUE"""),0)</f>
        <v>0</v>
      </c>
      <c r="M348" s="21">
        <f ca="1">IFERROR(__xludf.DUMMYFUNCTION("""COMPUTED_VALUE"""),60)</f>
        <v>60</v>
      </c>
      <c r="N348" s="21">
        <f ca="1">IFERROR(__xludf.DUMMYFUNCTION("""COMPUTED_VALUE"""),0)</f>
        <v>0</v>
      </c>
      <c r="O348" s="22">
        <f ca="1">IFERROR(__xludf.DUMMYFUNCTION("""COMPUTED_VALUE"""),95)</f>
        <v>95</v>
      </c>
      <c r="P348" s="22">
        <f ca="1">IFERROR(__xludf.DUMMYFUNCTION("""COMPUTED_VALUE"""),15)</f>
        <v>15</v>
      </c>
      <c r="Q348" s="23">
        <f ca="1">IFERROR(__xludf.DUMMYFUNCTION("""COMPUTED_VALUE"""),500)</f>
        <v>500</v>
      </c>
      <c r="R348" s="23">
        <f ca="1">IFERROR(__xludf.DUMMYFUNCTION("""COMPUTED_VALUE"""),10)</f>
        <v>10</v>
      </c>
      <c r="S348" s="24" t="str">
        <f ca="1">IFERROR(__xludf.DUMMYFUNCTION("""COMPUTED_VALUE"""),"Receiver")</f>
        <v>Receiver</v>
      </c>
      <c r="T348" s="24" t="str">
        <f ca="1">IFERROR(__xludf.DUMMYFUNCTION("""COMPUTED_VALUE"""),"Scrappy")</f>
        <v>Scrappy</v>
      </c>
      <c r="U348" s="24" t="str">
        <f ca="1">IFERROR(__xludf.DUMMYFUNCTION("""COMPUTED_VALUE"""),"Defiant")</f>
        <v>Defiant</v>
      </c>
      <c r="V348" s="25"/>
      <c r="W348" s="25"/>
      <c r="X348" s="25"/>
      <c r="Y348" s="25" t="str">
        <f ca="1">IFERROR(__xludf.DUMMYFUNCTION("""COMPUTED_VALUE"""),"Kalami City, Kaptara Island (wild)")</f>
        <v>Kalami City, Kaptara Island (wild)</v>
      </c>
    </row>
    <row r="349" spans="1:25" x14ac:dyDescent="0.25">
      <c r="A349" s="15" t="str">
        <f ca="1">IFERROR(__xludf.DUMMYFUNCTION("""COMPUTED_VALUE"""),"Zigzagoon")</f>
        <v>Zigzagoon</v>
      </c>
      <c r="B349" s="16">
        <f ca="1">IFERROR(__xludf.DUMMYFUNCTION("""COMPUTED_VALUE"""),348)</f>
        <v>348</v>
      </c>
      <c r="C349" s="3" t="str">
        <f ca="1">IFERROR(__xludf.DUMMYFUNCTION("""COMPUTED_VALUE"""),"Normal")</f>
        <v>Normal</v>
      </c>
      <c r="D349" s="3"/>
      <c r="E349" s="17">
        <f ca="1">IFERROR(__xludf.DUMMYFUNCTION("""COMPUTED_VALUE"""),38)</f>
        <v>38</v>
      </c>
      <c r="F349" s="17">
        <f ca="1">IFERROR(__xludf.DUMMYFUNCTION("""COMPUTED_VALUE"""),0)</f>
        <v>0</v>
      </c>
      <c r="G349" s="18">
        <f ca="1">IFERROR(__xludf.DUMMYFUNCTION("""COMPUTED_VALUE"""),30)</f>
        <v>30</v>
      </c>
      <c r="H349" s="18">
        <f ca="1">IFERROR(__xludf.DUMMYFUNCTION("""COMPUTED_VALUE"""),0)</f>
        <v>0</v>
      </c>
      <c r="I349" s="19">
        <f ca="1">IFERROR(__xludf.DUMMYFUNCTION("""COMPUTED_VALUE"""),41)</f>
        <v>41</v>
      </c>
      <c r="J349" s="19">
        <f ca="1">IFERROR(__xludf.DUMMYFUNCTION("""COMPUTED_VALUE"""),0)</f>
        <v>0</v>
      </c>
      <c r="K349" s="20">
        <f ca="1">IFERROR(__xludf.DUMMYFUNCTION("""COMPUTED_VALUE"""),30)</f>
        <v>30</v>
      </c>
      <c r="L349" s="20">
        <f ca="1">IFERROR(__xludf.DUMMYFUNCTION("""COMPUTED_VALUE"""),0)</f>
        <v>0</v>
      </c>
      <c r="M349" s="21">
        <f ca="1">IFERROR(__xludf.DUMMYFUNCTION("""COMPUTED_VALUE"""),41)</f>
        <v>41</v>
      </c>
      <c r="N349" s="21">
        <f ca="1">IFERROR(__xludf.DUMMYFUNCTION("""COMPUTED_VALUE"""),0)</f>
        <v>0</v>
      </c>
      <c r="O349" s="22">
        <f ca="1">IFERROR(__xludf.DUMMYFUNCTION("""COMPUTED_VALUE"""),60)</f>
        <v>60</v>
      </c>
      <c r="P349" s="22">
        <f ca="1">IFERROR(__xludf.DUMMYFUNCTION("""COMPUTED_VALUE"""),0)</f>
        <v>0</v>
      </c>
      <c r="Q349" s="23">
        <f ca="1">IFERROR(__xludf.DUMMYFUNCTION("""COMPUTED_VALUE"""),240)</f>
        <v>240</v>
      </c>
      <c r="R349" s="23">
        <f ca="1">IFERROR(__xludf.DUMMYFUNCTION("""COMPUTED_VALUE"""),0)</f>
        <v>0</v>
      </c>
      <c r="S349" s="24" t="str">
        <f ca="1">IFERROR(__xludf.DUMMYFUNCTION("""COMPUTED_VALUE"""),"Pickup")</f>
        <v>Pickup</v>
      </c>
      <c r="T349" s="24" t="str">
        <f ca="1">IFERROR(__xludf.DUMMYFUNCTION("""COMPUTED_VALUE"""),"Gluttony")</f>
        <v>Gluttony</v>
      </c>
      <c r="U349" s="24" t="str">
        <f ca="1">IFERROR(__xludf.DUMMYFUNCTION("""COMPUTED_VALUE"""),"Quick Feet")</f>
        <v>Quick Feet</v>
      </c>
      <c r="V349" s="25"/>
      <c r="W349" s="25" t="str">
        <f ca="1">IFERROR(__xludf.DUMMYFUNCTION("""COMPUTED_VALUE"""),"Potion")</f>
        <v>Potion</v>
      </c>
      <c r="X349" s="25" t="str">
        <f ca="1">IFERROR(__xludf.DUMMYFUNCTION("""COMPUTED_VALUE"""),"Revive")</f>
        <v>Revive</v>
      </c>
      <c r="Y349" s="25" t="str">
        <f ca="1">IFERROR(__xludf.DUMMYFUNCTION("""COMPUTED_VALUE"""),"Riverwalk Trail S, Erinys Path W (wild)")</f>
        <v>Riverwalk Trail S, Erinys Path W (wild)</v>
      </c>
    </row>
    <row r="350" spans="1:25" x14ac:dyDescent="0.25">
      <c r="A350" s="15" t="str">
        <f ca="1">IFERROR(__xludf.DUMMYFUNCTION("""COMPUTED_VALUE"""),"Linoone")</f>
        <v>Linoone</v>
      </c>
      <c r="B350" s="16">
        <f ca="1">IFERROR(__xludf.DUMMYFUNCTION("""COMPUTED_VALUE"""),349)</f>
        <v>349</v>
      </c>
      <c r="C350" s="3" t="str">
        <f ca="1">IFERROR(__xludf.DUMMYFUNCTION("""COMPUTED_VALUE"""),"Normal")</f>
        <v>Normal</v>
      </c>
      <c r="D350" s="3"/>
      <c r="E350" s="17">
        <f ca="1">IFERROR(__xludf.DUMMYFUNCTION("""COMPUTED_VALUE"""),78)</f>
        <v>78</v>
      </c>
      <c r="F350" s="17">
        <f ca="1">IFERROR(__xludf.DUMMYFUNCTION("""COMPUTED_VALUE"""),0)</f>
        <v>0</v>
      </c>
      <c r="G350" s="18">
        <f ca="1">IFERROR(__xludf.DUMMYFUNCTION("""COMPUTED_VALUE"""),75)</f>
        <v>75</v>
      </c>
      <c r="H350" s="18">
        <f ca="1">IFERROR(__xludf.DUMMYFUNCTION("""COMPUTED_VALUE"""),5)</f>
        <v>5</v>
      </c>
      <c r="I350" s="19">
        <f ca="1">IFERROR(__xludf.DUMMYFUNCTION("""COMPUTED_VALUE"""),61)</f>
        <v>61</v>
      </c>
      <c r="J350" s="19">
        <f ca="1">IFERROR(__xludf.DUMMYFUNCTION("""COMPUTED_VALUE"""),0)</f>
        <v>0</v>
      </c>
      <c r="K350" s="20">
        <f ca="1">IFERROR(__xludf.DUMMYFUNCTION("""COMPUTED_VALUE"""),50)</f>
        <v>50</v>
      </c>
      <c r="L350" s="20">
        <f ca="1">IFERROR(__xludf.DUMMYFUNCTION("""COMPUTED_VALUE"""),0)</f>
        <v>0</v>
      </c>
      <c r="M350" s="21">
        <f ca="1">IFERROR(__xludf.DUMMYFUNCTION("""COMPUTED_VALUE"""),66)</f>
        <v>66</v>
      </c>
      <c r="N350" s="21">
        <f ca="1">IFERROR(__xludf.DUMMYFUNCTION("""COMPUTED_VALUE"""),5)</f>
        <v>5</v>
      </c>
      <c r="O350" s="22">
        <f ca="1">IFERROR(__xludf.DUMMYFUNCTION("""COMPUTED_VALUE"""),100)</f>
        <v>100</v>
      </c>
      <c r="P350" s="22">
        <f ca="1">IFERROR(__xludf.DUMMYFUNCTION("""COMPUTED_VALUE"""),0)</f>
        <v>0</v>
      </c>
      <c r="Q350" s="23">
        <f ca="1">IFERROR(__xludf.DUMMYFUNCTION("""COMPUTED_VALUE"""),430)</f>
        <v>430</v>
      </c>
      <c r="R350" s="23">
        <f ca="1">IFERROR(__xludf.DUMMYFUNCTION("""COMPUTED_VALUE"""),10)</f>
        <v>10</v>
      </c>
      <c r="S350" s="24" t="str">
        <f ca="1">IFERROR(__xludf.DUMMYFUNCTION("""COMPUTED_VALUE"""),"Pickup")</f>
        <v>Pickup</v>
      </c>
      <c r="T350" s="24" t="str">
        <f ca="1">IFERROR(__xludf.DUMMYFUNCTION("""COMPUTED_VALUE"""),"Gluttony")</f>
        <v>Gluttony</v>
      </c>
      <c r="U350" s="24" t="str">
        <f ca="1">IFERROR(__xludf.DUMMYFUNCTION("""COMPUTED_VALUE"""),"Quick Feet")</f>
        <v>Quick Feet</v>
      </c>
      <c r="V350" s="25" t="str">
        <f ca="1">IFERROR(__xludf.DUMMYFUNCTION("""COMPUTED_VALUE"""),"Lv. 20")</f>
        <v>Lv. 20</v>
      </c>
      <c r="W350" s="25" t="str">
        <f ca="1">IFERROR(__xludf.DUMMYFUNCTION("""COMPUTED_VALUE"""),"Potion")</f>
        <v>Potion</v>
      </c>
      <c r="X350" s="25" t="str">
        <f ca="1">IFERROR(__xludf.DUMMYFUNCTION("""COMPUTED_VALUE"""),"Max Revive")</f>
        <v>Max Revive</v>
      </c>
      <c r="Y350" s="25" t="str">
        <f ca="1">IFERROR(__xludf.DUMMYFUNCTION("""COMPUTED_VALUE"""),"Port Pello (wild)")</f>
        <v>Port Pello (wild)</v>
      </c>
    </row>
    <row r="351" spans="1:25" x14ac:dyDescent="0.25">
      <c r="A351" s="15" t="str">
        <f ca="1">IFERROR(__xludf.DUMMYFUNCTION("""COMPUTED_VALUE"""),"Obstagoon")</f>
        <v>Obstagoon</v>
      </c>
      <c r="B351" s="16">
        <f ca="1">IFERROR(__xludf.DUMMYFUNCTION("""COMPUTED_VALUE"""),350)</f>
        <v>350</v>
      </c>
      <c r="C351" s="3" t="str">
        <f ca="1">IFERROR(__xludf.DUMMYFUNCTION("""COMPUTED_VALUE"""),"Dark")</f>
        <v>Dark</v>
      </c>
      <c r="D351" s="3" t="str">
        <f ca="1">IFERROR(__xludf.DUMMYFUNCTION("""COMPUTED_VALUE"""),"Normal")</f>
        <v>Normal</v>
      </c>
      <c r="E351" s="17">
        <f ca="1">IFERROR(__xludf.DUMMYFUNCTION("""COMPUTED_VALUE"""),93)</f>
        <v>93</v>
      </c>
      <c r="F351" s="17">
        <f ca="1">IFERROR(__xludf.DUMMYFUNCTION("""COMPUTED_VALUE"""),0)</f>
        <v>0</v>
      </c>
      <c r="G351" s="18">
        <f ca="1">IFERROR(__xludf.DUMMYFUNCTION("""COMPUTED_VALUE"""),100)</f>
        <v>100</v>
      </c>
      <c r="H351" s="18">
        <f ca="1">IFERROR(__xludf.DUMMYFUNCTION("""COMPUTED_VALUE"""),10)</f>
        <v>10</v>
      </c>
      <c r="I351" s="19">
        <f ca="1">IFERROR(__xludf.DUMMYFUNCTION("""COMPUTED_VALUE"""),101)</f>
        <v>101</v>
      </c>
      <c r="J351" s="19">
        <f ca="1">IFERROR(__xludf.DUMMYFUNCTION("""COMPUTED_VALUE"""),0)</f>
        <v>0</v>
      </c>
      <c r="K351" s="20">
        <f ca="1">IFERROR(__xludf.DUMMYFUNCTION("""COMPUTED_VALUE"""),50)</f>
        <v>50</v>
      </c>
      <c r="L351" s="20">
        <f ca="1">IFERROR(__xludf.DUMMYFUNCTION("""COMPUTED_VALUE"""),-10)</f>
        <v>-10</v>
      </c>
      <c r="M351" s="21">
        <f ca="1">IFERROR(__xludf.DUMMYFUNCTION("""COMPUTED_VALUE"""),81)</f>
        <v>81</v>
      </c>
      <c r="N351" s="21">
        <f ca="1">IFERROR(__xludf.DUMMYFUNCTION("""COMPUTED_VALUE"""),0)</f>
        <v>0</v>
      </c>
      <c r="O351" s="22">
        <f ca="1">IFERROR(__xludf.DUMMYFUNCTION("""COMPUTED_VALUE"""),95)</f>
        <v>95</v>
      </c>
      <c r="P351" s="22">
        <f ca="1">IFERROR(__xludf.DUMMYFUNCTION("""COMPUTED_VALUE"""),0)</f>
        <v>0</v>
      </c>
      <c r="Q351" s="23">
        <f ca="1">IFERROR(__xludf.DUMMYFUNCTION("""COMPUTED_VALUE"""),520)</f>
        <v>520</v>
      </c>
      <c r="R351" s="23">
        <f ca="1">IFERROR(__xludf.DUMMYFUNCTION("""COMPUTED_VALUE"""),0)</f>
        <v>0</v>
      </c>
      <c r="S351" s="24" t="str">
        <f ca="1">IFERROR(__xludf.DUMMYFUNCTION("""COMPUTED_VALUE"""),"Reckless")</f>
        <v>Reckless</v>
      </c>
      <c r="T351" s="24" t="str">
        <f ca="1">IFERROR(__xludf.DUMMYFUNCTION("""COMPUTED_VALUE"""),"Guts")</f>
        <v>Guts</v>
      </c>
      <c r="U351" s="24" t="str">
        <f ca="1">IFERROR(__xludf.DUMMYFUNCTION("""COMPUTED_VALUE"""),"Defiant")</f>
        <v>Defiant</v>
      </c>
      <c r="V351" s="25" t="str">
        <f ca="1">IFERROR(__xludf.DUMMYFUNCTION("""COMPUTED_VALUE"""),"Lv. 35, Night")</f>
        <v>Lv. 35, Night</v>
      </c>
      <c r="W351" s="25"/>
      <c r="X351" s="25"/>
      <c r="Y351" s="25" t="str">
        <f ca="1">IFERROR(__xludf.DUMMYFUNCTION("""COMPUTED_VALUE"""),"Areios Hideout (wild)")</f>
        <v>Areios Hideout (wild)</v>
      </c>
    </row>
    <row r="352" spans="1:25" x14ac:dyDescent="0.25">
      <c r="A352" s="15" t="str">
        <f ca="1">IFERROR(__xludf.DUMMYFUNCTION("""COMPUTED_VALUE"""),"Goomy")</f>
        <v>Goomy</v>
      </c>
      <c r="B352" s="16">
        <f ca="1">IFERROR(__xludf.DUMMYFUNCTION("""COMPUTED_VALUE"""),351)</f>
        <v>351</v>
      </c>
      <c r="C352" s="3" t="str">
        <f ca="1">IFERROR(__xludf.DUMMYFUNCTION("""COMPUTED_VALUE"""),"Dragon")</f>
        <v>Dragon</v>
      </c>
      <c r="D352" s="3"/>
      <c r="E352" s="17">
        <f ca="1">IFERROR(__xludf.DUMMYFUNCTION("""COMPUTED_VALUE"""),45)</f>
        <v>45</v>
      </c>
      <c r="F352" s="17">
        <f ca="1">IFERROR(__xludf.DUMMYFUNCTION("""COMPUTED_VALUE"""),0)</f>
        <v>0</v>
      </c>
      <c r="G352" s="18">
        <f ca="1">IFERROR(__xludf.DUMMYFUNCTION("""COMPUTED_VALUE"""),50)</f>
        <v>50</v>
      </c>
      <c r="H352" s="18">
        <f ca="1">IFERROR(__xludf.DUMMYFUNCTION("""COMPUTED_VALUE"""),0)</f>
        <v>0</v>
      </c>
      <c r="I352" s="19">
        <f ca="1">IFERROR(__xludf.DUMMYFUNCTION("""COMPUTED_VALUE"""),35)</f>
        <v>35</v>
      </c>
      <c r="J352" s="19">
        <f ca="1">IFERROR(__xludf.DUMMYFUNCTION("""COMPUTED_VALUE"""),0)</f>
        <v>0</v>
      </c>
      <c r="K352" s="20">
        <f ca="1">IFERROR(__xludf.DUMMYFUNCTION("""COMPUTED_VALUE"""),55)</f>
        <v>55</v>
      </c>
      <c r="L352" s="20">
        <f ca="1">IFERROR(__xludf.DUMMYFUNCTION("""COMPUTED_VALUE"""),0)</f>
        <v>0</v>
      </c>
      <c r="M352" s="21">
        <f ca="1">IFERROR(__xludf.DUMMYFUNCTION("""COMPUTED_VALUE"""),75)</f>
        <v>75</v>
      </c>
      <c r="N352" s="21">
        <f ca="1">IFERROR(__xludf.DUMMYFUNCTION("""COMPUTED_VALUE"""),0)</f>
        <v>0</v>
      </c>
      <c r="O352" s="22">
        <f ca="1">IFERROR(__xludf.DUMMYFUNCTION("""COMPUTED_VALUE"""),40)</f>
        <v>40</v>
      </c>
      <c r="P352" s="22">
        <f ca="1">IFERROR(__xludf.DUMMYFUNCTION("""COMPUTED_VALUE"""),0)</f>
        <v>0</v>
      </c>
      <c r="Q352" s="23">
        <f ca="1">IFERROR(__xludf.DUMMYFUNCTION("""COMPUTED_VALUE"""),300)</f>
        <v>300</v>
      </c>
      <c r="R352" s="23">
        <f ca="1">IFERROR(__xludf.DUMMYFUNCTION("""COMPUTED_VALUE"""),0)</f>
        <v>0</v>
      </c>
      <c r="S352" s="24" t="str">
        <f ca="1">IFERROR(__xludf.DUMMYFUNCTION("""COMPUTED_VALUE"""),"Sap Sipper")</f>
        <v>Sap Sipper</v>
      </c>
      <c r="T352" s="24" t="str">
        <f ca="1">IFERROR(__xludf.DUMMYFUNCTION("""COMPUTED_VALUE"""),"Hydration")</f>
        <v>Hydration</v>
      </c>
      <c r="U352" s="24" t="str">
        <f ca="1">IFERROR(__xludf.DUMMYFUNCTION("""COMPUTED_VALUE"""),"Gooey")</f>
        <v>Gooey</v>
      </c>
      <c r="V352" s="25"/>
      <c r="W352" s="25"/>
      <c r="X352" s="25" t="str">
        <f ca="1">IFERROR(__xludf.DUMMYFUNCTION("""COMPUTED_VALUE"""),"Shed Shell")</f>
        <v>Shed Shell</v>
      </c>
      <c r="Y352" s="25" t="str">
        <f ca="1">IFERROR(__xludf.DUMMYFUNCTION("""COMPUTED_VALUE"""),"Pythios Cemetery, Myrrini Island, Kaptara Island (wild)")</f>
        <v>Pythios Cemetery, Myrrini Island, Kaptara Island (wild)</v>
      </c>
    </row>
    <row r="353" spans="1:25" x14ac:dyDescent="0.25">
      <c r="A353" s="15" t="str">
        <f ca="1">IFERROR(__xludf.DUMMYFUNCTION("""COMPUTED_VALUE"""),"Sliggoo")</f>
        <v>Sliggoo</v>
      </c>
      <c r="B353" s="16">
        <f ca="1">IFERROR(__xludf.DUMMYFUNCTION("""COMPUTED_VALUE"""),352)</f>
        <v>352</v>
      </c>
      <c r="C353" s="3" t="str">
        <f ca="1">IFERROR(__xludf.DUMMYFUNCTION("""COMPUTED_VALUE"""),"Dragon")</f>
        <v>Dragon</v>
      </c>
      <c r="D353" s="3"/>
      <c r="E353" s="17">
        <f ca="1">IFERROR(__xludf.DUMMYFUNCTION("""COMPUTED_VALUE"""),68)</f>
        <v>68</v>
      </c>
      <c r="F353" s="17">
        <f ca="1">IFERROR(__xludf.DUMMYFUNCTION("""COMPUTED_VALUE"""),0)</f>
        <v>0</v>
      </c>
      <c r="G353" s="18">
        <f ca="1">IFERROR(__xludf.DUMMYFUNCTION("""COMPUTED_VALUE"""),75)</f>
        <v>75</v>
      </c>
      <c r="H353" s="18">
        <f ca="1">IFERROR(__xludf.DUMMYFUNCTION("""COMPUTED_VALUE"""),0)</f>
        <v>0</v>
      </c>
      <c r="I353" s="19">
        <f ca="1">IFERROR(__xludf.DUMMYFUNCTION("""COMPUTED_VALUE"""),53)</f>
        <v>53</v>
      </c>
      <c r="J353" s="19">
        <f ca="1">IFERROR(__xludf.DUMMYFUNCTION("""COMPUTED_VALUE"""),0)</f>
        <v>0</v>
      </c>
      <c r="K353" s="20">
        <f ca="1">IFERROR(__xludf.DUMMYFUNCTION("""COMPUTED_VALUE"""),83)</f>
        <v>83</v>
      </c>
      <c r="L353" s="20">
        <f ca="1">IFERROR(__xludf.DUMMYFUNCTION("""COMPUTED_VALUE"""),0)</f>
        <v>0</v>
      </c>
      <c r="M353" s="21">
        <f ca="1">IFERROR(__xludf.DUMMYFUNCTION("""COMPUTED_VALUE"""),113)</f>
        <v>113</v>
      </c>
      <c r="N353" s="21">
        <f ca="1">IFERROR(__xludf.DUMMYFUNCTION("""COMPUTED_VALUE"""),0)</f>
        <v>0</v>
      </c>
      <c r="O353" s="22">
        <f ca="1">IFERROR(__xludf.DUMMYFUNCTION("""COMPUTED_VALUE"""),60)</f>
        <v>60</v>
      </c>
      <c r="P353" s="22">
        <f ca="1">IFERROR(__xludf.DUMMYFUNCTION("""COMPUTED_VALUE"""),0)</f>
        <v>0</v>
      </c>
      <c r="Q353" s="23">
        <f ca="1">IFERROR(__xludf.DUMMYFUNCTION("""COMPUTED_VALUE"""),452)</f>
        <v>452</v>
      </c>
      <c r="R353" s="23">
        <f ca="1">IFERROR(__xludf.DUMMYFUNCTION("""COMPUTED_VALUE"""),0)</f>
        <v>0</v>
      </c>
      <c r="S353" s="24" t="str">
        <f ca="1">IFERROR(__xludf.DUMMYFUNCTION("""COMPUTED_VALUE"""),"Sap Sipper")</f>
        <v>Sap Sipper</v>
      </c>
      <c r="T353" s="24" t="str">
        <f ca="1">IFERROR(__xludf.DUMMYFUNCTION("""COMPUTED_VALUE"""),"Hydration")</f>
        <v>Hydration</v>
      </c>
      <c r="U353" s="24" t="str">
        <f ca="1">IFERROR(__xludf.DUMMYFUNCTION("""COMPUTED_VALUE"""),"Gooey")</f>
        <v>Gooey</v>
      </c>
      <c r="V353" s="25" t="str">
        <f ca="1">IFERROR(__xludf.DUMMYFUNCTION("""COMPUTED_VALUE"""),"Lv. 30")</f>
        <v>Lv. 30</v>
      </c>
      <c r="W353" s="25"/>
      <c r="X353" s="25" t="str">
        <f ca="1">IFERROR(__xludf.DUMMYFUNCTION("""COMPUTED_VALUE"""),"Shed Shell")</f>
        <v>Shed Shell</v>
      </c>
      <c r="Y353" s="25" t="str">
        <f ca="1">IFERROR(__xludf.DUMMYFUNCTION("""COMPUTED_VALUE"""),"Kaptara Island (wild)")</f>
        <v>Kaptara Island (wild)</v>
      </c>
    </row>
    <row r="354" spans="1:25" x14ac:dyDescent="0.25">
      <c r="A354" s="15" t="str">
        <f ca="1">IFERROR(__xludf.DUMMYFUNCTION("""COMPUTED_VALUE"""),"Goodra")</f>
        <v>Goodra</v>
      </c>
      <c r="B354" s="16">
        <f ca="1">IFERROR(__xludf.DUMMYFUNCTION("""COMPUTED_VALUE"""),353)</f>
        <v>353</v>
      </c>
      <c r="C354" s="3" t="str">
        <f ca="1">IFERROR(__xludf.DUMMYFUNCTION("""COMPUTED_VALUE"""),"Dragon")</f>
        <v>Dragon</v>
      </c>
      <c r="D354" s="3"/>
      <c r="E354" s="17">
        <f ca="1">IFERROR(__xludf.DUMMYFUNCTION("""COMPUTED_VALUE"""),90)</f>
        <v>90</v>
      </c>
      <c r="F354" s="17">
        <f ca="1">IFERROR(__xludf.DUMMYFUNCTION("""COMPUTED_VALUE"""),0)</f>
        <v>0</v>
      </c>
      <c r="G354" s="18">
        <f ca="1">IFERROR(__xludf.DUMMYFUNCTION("""COMPUTED_VALUE"""),100)</f>
        <v>100</v>
      </c>
      <c r="H354" s="18">
        <f ca="1">IFERROR(__xludf.DUMMYFUNCTION("""COMPUTED_VALUE"""),0)</f>
        <v>0</v>
      </c>
      <c r="I354" s="19">
        <f ca="1">IFERROR(__xludf.DUMMYFUNCTION("""COMPUTED_VALUE"""),70)</f>
        <v>70</v>
      </c>
      <c r="J354" s="19">
        <f ca="1">IFERROR(__xludf.DUMMYFUNCTION("""COMPUTED_VALUE"""),0)</f>
        <v>0</v>
      </c>
      <c r="K354" s="20">
        <f ca="1">IFERROR(__xludf.DUMMYFUNCTION("""COMPUTED_VALUE"""),110)</f>
        <v>110</v>
      </c>
      <c r="L354" s="20">
        <f ca="1">IFERROR(__xludf.DUMMYFUNCTION("""COMPUTED_VALUE"""),0)</f>
        <v>0</v>
      </c>
      <c r="M354" s="21">
        <f ca="1">IFERROR(__xludf.DUMMYFUNCTION("""COMPUTED_VALUE"""),150)</f>
        <v>150</v>
      </c>
      <c r="N354" s="21">
        <f ca="1">IFERROR(__xludf.DUMMYFUNCTION("""COMPUTED_VALUE"""),0)</f>
        <v>0</v>
      </c>
      <c r="O354" s="22">
        <f ca="1">IFERROR(__xludf.DUMMYFUNCTION("""COMPUTED_VALUE"""),80)</f>
        <v>80</v>
      </c>
      <c r="P354" s="22">
        <f ca="1">IFERROR(__xludf.DUMMYFUNCTION("""COMPUTED_VALUE"""),0)</f>
        <v>0</v>
      </c>
      <c r="Q354" s="23">
        <f ca="1">IFERROR(__xludf.DUMMYFUNCTION("""COMPUTED_VALUE"""),600)</f>
        <v>600</v>
      </c>
      <c r="R354" s="23">
        <f ca="1">IFERROR(__xludf.DUMMYFUNCTION("""COMPUTED_VALUE"""),0)</f>
        <v>0</v>
      </c>
      <c r="S354" s="24" t="str">
        <f ca="1">IFERROR(__xludf.DUMMYFUNCTION("""COMPUTED_VALUE"""),"Sap Sipper")</f>
        <v>Sap Sipper</v>
      </c>
      <c r="T354" s="24" t="str">
        <f ca="1">IFERROR(__xludf.DUMMYFUNCTION("""COMPUTED_VALUE"""),"Hydration")</f>
        <v>Hydration</v>
      </c>
      <c r="U354" s="24" t="str">
        <f ca="1">IFERROR(__xludf.DUMMYFUNCTION("""COMPUTED_VALUE"""),"Gooey")</f>
        <v>Gooey</v>
      </c>
      <c r="V354" s="25" t="str">
        <f ca="1">IFERROR(__xludf.DUMMYFUNCTION("""COMPUTED_VALUE"""),"Lv. 50, Overworld Rain")</f>
        <v>Lv. 50, Overworld Rain</v>
      </c>
      <c r="W354" s="25"/>
      <c r="X354" s="25"/>
      <c r="Y354" s="25" t="str">
        <f ca="1">IFERROR(__xludf.DUMMYFUNCTION("""COMPUTED_VALUE"""),"Sliggoo (evolve)")</f>
        <v>Sliggoo (evolve)</v>
      </c>
    </row>
    <row r="355" spans="1:25" x14ac:dyDescent="0.25">
      <c r="A355" s="15" t="str">
        <f ca="1">IFERROR(__xludf.DUMMYFUNCTION("""COMPUTED_VALUE"""),"Bruxish")</f>
        <v>Bruxish</v>
      </c>
      <c r="B355" s="16">
        <f ca="1">IFERROR(__xludf.DUMMYFUNCTION("""COMPUTED_VALUE"""),354)</f>
        <v>354</v>
      </c>
      <c r="C355" s="3" t="str">
        <f ca="1">IFERROR(__xludf.DUMMYFUNCTION("""COMPUTED_VALUE"""),"Water")</f>
        <v>Water</v>
      </c>
      <c r="D355" s="3" t="str">
        <f ca="1">IFERROR(__xludf.DUMMYFUNCTION("""COMPUTED_VALUE"""),"Psychic")</f>
        <v>Psychic</v>
      </c>
      <c r="E355" s="17">
        <f ca="1">IFERROR(__xludf.DUMMYFUNCTION("""COMPUTED_VALUE"""),68)</f>
        <v>68</v>
      </c>
      <c r="F355" s="17">
        <f ca="1">IFERROR(__xludf.DUMMYFUNCTION("""COMPUTED_VALUE"""),0)</f>
        <v>0</v>
      </c>
      <c r="G355" s="18">
        <f ca="1">IFERROR(__xludf.DUMMYFUNCTION("""COMPUTED_VALUE"""),105)</f>
        <v>105</v>
      </c>
      <c r="H355" s="18">
        <f ca="1">IFERROR(__xludf.DUMMYFUNCTION("""COMPUTED_VALUE"""),0)</f>
        <v>0</v>
      </c>
      <c r="I355" s="19">
        <f ca="1">IFERROR(__xludf.DUMMYFUNCTION("""COMPUTED_VALUE"""),70)</f>
        <v>70</v>
      </c>
      <c r="J355" s="19">
        <f ca="1">IFERROR(__xludf.DUMMYFUNCTION("""COMPUTED_VALUE"""),0)</f>
        <v>0</v>
      </c>
      <c r="K355" s="20">
        <f ca="1">IFERROR(__xludf.DUMMYFUNCTION("""COMPUTED_VALUE"""),70)</f>
        <v>70</v>
      </c>
      <c r="L355" s="20">
        <f ca="1">IFERROR(__xludf.DUMMYFUNCTION("""COMPUTED_VALUE"""),0)</f>
        <v>0</v>
      </c>
      <c r="M355" s="21">
        <f ca="1">IFERROR(__xludf.DUMMYFUNCTION("""COMPUTED_VALUE"""),75)</f>
        <v>75</v>
      </c>
      <c r="N355" s="21">
        <f ca="1">IFERROR(__xludf.DUMMYFUNCTION("""COMPUTED_VALUE"""),5)</f>
        <v>5</v>
      </c>
      <c r="O355" s="22">
        <f ca="1">IFERROR(__xludf.DUMMYFUNCTION("""COMPUTED_VALUE"""),92)</f>
        <v>92</v>
      </c>
      <c r="P355" s="22">
        <f ca="1">IFERROR(__xludf.DUMMYFUNCTION("""COMPUTED_VALUE"""),0)</f>
        <v>0</v>
      </c>
      <c r="Q355" s="23">
        <f ca="1">IFERROR(__xludf.DUMMYFUNCTION("""COMPUTED_VALUE"""),480)</f>
        <v>480</v>
      </c>
      <c r="R355" s="23">
        <f ca="1">IFERROR(__xludf.DUMMYFUNCTION("""COMPUTED_VALUE"""),5)</f>
        <v>5</v>
      </c>
      <c r="S355" s="24" t="str">
        <f ca="1">IFERROR(__xludf.DUMMYFUNCTION("""COMPUTED_VALUE"""),"Dazzling")</f>
        <v>Dazzling</v>
      </c>
      <c r="T355" s="24" t="str">
        <f ca="1">IFERROR(__xludf.DUMMYFUNCTION("""COMPUTED_VALUE"""),"Strong Jaw")</f>
        <v>Strong Jaw</v>
      </c>
      <c r="U355" s="24" t="str">
        <f ca="1">IFERROR(__xludf.DUMMYFUNCTION("""COMPUTED_VALUE"""),"Wonder Skin")</f>
        <v>Wonder Skin</v>
      </c>
      <c r="V355" s="25"/>
      <c r="W355" s="25"/>
      <c r="X355" s="25" t="str">
        <f ca="1">IFERROR(__xludf.DUMMYFUNCTION("""COMPUTED_VALUE"""),"Razor Fang")</f>
        <v>Razor Fang</v>
      </c>
      <c r="Y355" s="25" t="str">
        <f ca="1">IFERROR(__xludf.DUMMYFUNCTION("""COMPUTED_VALUE"""),"Port Pello (wild)")</f>
        <v>Port Pello (wild)</v>
      </c>
    </row>
    <row r="356" spans="1:25" x14ac:dyDescent="0.25">
      <c r="A356" s="15" t="str">
        <f ca="1">IFERROR(__xludf.DUMMYFUNCTION("""COMPUTED_VALUE"""),"Impidimp")</f>
        <v>Impidimp</v>
      </c>
      <c r="B356" s="16">
        <f ca="1">IFERROR(__xludf.DUMMYFUNCTION("""COMPUTED_VALUE"""),355)</f>
        <v>355</v>
      </c>
      <c r="C356" s="3" t="str">
        <f ca="1">IFERROR(__xludf.DUMMYFUNCTION("""COMPUTED_VALUE"""),"Dark")</f>
        <v>Dark</v>
      </c>
      <c r="D356" s="3" t="str">
        <f ca="1">IFERROR(__xludf.DUMMYFUNCTION("""COMPUTED_VALUE"""),"Fairy")</f>
        <v>Fairy</v>
      </c>
      <c r="E356" s="17">
        <f ca="1">IFERROR(__xludf.DUMMYFUNCTION("""COMPUTED_VALUE"""),45)</f>
        <v>45</v>
      </c>
      <c r="F356" s="17">
        <f ca="1">IFERROR(__xludf.DUMMYFUNCTION("""COMPUTED_VALUE"""),0)</f>
        <v>0</v>
      </c>
      <c r="G356" s="18">
        <f ca="1">IFERROR(__xludf.DUMMYFUNCTION("""COMPUTED_VALUE"""),45)</f>
        <v>45</v>
      </c>
      <c r="H356" s="18">
        <f ca="1">IFERROR(__xludf.DUMMYFUNCTION("""COMPUTED_VALUE"""),0)</f>
        <v>0</v>
      </c>
      <c r="I356" s="19">
        <f ca="1">IFERROR(__xludf.DUMMYFUNCTION("""COMPUTED_VALUE"""),30)</f>
        <v>30</v>
      </c>
      <c r="J356" s="19">
        <f ca="1">IFERROR(__xludf.DUMMYFUNCTION("""COMPUTED_VALUE"""),0)</f>
        <v>0</v>
      </c>
      <c r="K356" s="20">
        <f ca="1">IFERROR(__xludf.DUMMYFUNCTION("""COMPUTED_VALUE"""),55)</f>
        <v>55</v>
      </c>
      <c r="L356" s="20">
        <f ca="1">IFERROR(__xludf.DUMMYFUNCTION("""COMPUTED_VALUE"""),0)</f>
        <v>0</v>
      </c>
      <c r="M356" s="21">
        <f ca="1">IFERROR(__xludf.DUMMYFUNCTION("""COMPUTED_VALUE"""),40)</f>
        <v>40</v>
      </c>
      <c r="N356" s="21">
        <f ca="1">IFERROR(__xludf.DUMMYFUNCTION("""COMPUTED_VALUE"""),0)</f>
        <v>0</v>
      </c>
      <c r="O356" s="22">
        <f ca="1">IFERROR(__xludf.DUMMYFUNCTION("""COMPUTED_VALUE"""),50)</f>
        <v>50</v>
      </c>
      <c r="P356" s="22">
        <f ca="1">IFERROR(__xludf.DUMMYFUNCTION("""COMPUTED_VALUE"""),0)</f>
        <v>0</v>
      </c>
      <c r="Q356" s="23">
        <f ca="1">IFERROR(__xludf.DUMMYFUNCTION("""COMPUTED_VALUE"""),265)</f>
        <v>265</v>
      </c>
      <c r="R356" s="23">
        <f ca="1">IFERROR(__xludf.DUMMYFUNCTION("""COMPUTED_VALUE"""),0)</f>
        <v>0</v>
      </c>
      <c r="S356" s="24" t="str">
        <f ca="1">IFERROR(__xludf.DUMMYFUNCTION("""COMPUTED_VALUE"""),"Prankster")</f>
        <v>Prankster</v>
      </c>
      <c r="T356" s="24" t="str">
        <f ca="1">IFERROR(__xludf.DUMMYFUNCTION("""COMPUTED_VALUE"""),"Frisk")</f>
        <v>Frisk</v>
      </c>
      <c r="U356" s="24" t="str">
        <f ca="1">IFERROR(__xludf.DUMMYFUNCTION("""COMPUTED_VALUE"""),"Pickpocket")</f>
        <v>Pickpocket</v>
      </c>
      <c r="V356" s="25"/>
      <c r="W356" s="25"/>
      <c r="X356" s="25"/>
      <c r="Y356" s="25" t="str">
        <f ca="1">IFERROR(__xludf.DUMMYFUNCTION("""COMPUTED_VALUE"""),"Wanderer`s Woods (wild)")</f>
        <v>Wanderer`s Woods (wild)</v>
      </c>
    </row>
    <row r="357" spans="1:25" x14ac:dyDescent="0.25">
      <c r="A357" s="15" t="str">
        <f ca="1">IFERROR(__xludf.DUMMYFUNCTION("""COMPUTED_VALUE"""),"Morgrem")</f>
        <v>Morgrem</v>
      </c>
      <c r="B357" s="16">
        <f ca="1">IFERROR(__xludf.DUMMYFUNCTION("""COMPUTED_VALUE"""),356)</f>
        <v>356</v>
      </c>
      <c r="C357" s="3" t="str">
        <f ca="1">IFERROR(__xludf.DUMMYFUNCTION("""COMPUTED_VALUE"""),"Dark")</f>
        <v>Dark</v>
      </c>
      <c r="D357" s="3" t="str">
        <f ca="1">IFERROR(__xludf.DUMMYFUNCTION("""COMPUTED_VALUE"""),"Fairy")</f>
        <v>Fairy</v>
      </c>
      <c r="E357" s="17">
        <f ca="1">IFERROR(__xludf.DUMMYFUNCTION("""COMPUTED_VALUE"""),65)</f>
        <v>65</v>
      </c>
      <c r="F357" s="17">
        <f ca="1">IFERROR(__xludf.DUMMYFUNCTION("""COMPUTED_VALUE"""),0)</f>
        <v>0</v>
      </c>
      <c r="G357" s="18">
        <f ca="1">IFERROR(__xludf.DUMMYFUNCTION("""COMPUTED_VALUE"""),60)</f>
        <v>60</v>
      </c>
      <c r="H357" s="18">
        <f ca="1">IFERROR(__xludf.DUMMYFUNCTION("""COMPUTED_VALUE"""),0)</f>
        <v>0</v>
      </c>
      <c r="I357" s="19">
        <f ca="1">IFERROR(__xludf.DUMMYFUNCTION("""COMPUTED_VALUE"""),50)</f>
        <v>50</v>
      </c>
      <c r="J357" s="19">
        <f ca="1">IFERROR(__xludf.DUMMYFUNCTION("""COMPUTED_VALUE"""),5)</f>
        <v>5</v>
      </c>
      <c r="K357" s="20">
        <f ca="1">IFERROR(__xludf.DUMMYFUNCTION("""COMPUTED_VALUE"""),75)</f>
        <v>75</v>
      </c>
      <c r="L357" s="20">
        <f ca="1">IFERROR(__xludf.DUMMYFUNCTION("""COMPUTED_VALUE"""),0)</f>
        <v>0</v>
      </c>
      <c r="M357" s="21">
        <f ca="1">IFERROR(__xludf.DUMMYFUNCTION("""COMPUTED_VALUE"""),60)</f>
        <v>60</v>
      </c>
      <c r="N357" s="21">
        <f ca="1">IFERROR(__xludf.DUMMYFUNCTION("""COMPUTED_VALUE"""),5)</f>
        <v>5</v>
      </c>
      <c r="O357" s="22">
        <f ca="1">IFERROR(__xludf.DUMMYFUNCTION("""COMPUTED_VALUE"""),70)</f>
        <v>70</v>
      </c>
      <c r="P357" s="22">
        <f ca="1">IFERROR(__xludf.DUMMYFUNCTION("""COMPUTED_VALUE"""),0)</f>
        <v>0</v>
      </c>
      <c r="Q357" s="23">
        <f ca="1">IFERROR(__xludf.DUMMYFUNCTION("""COMPUTED_VALUE"""),380)</f>
        <v>380</v>
      </c>
      <c r="R357" s="23">
        <f ca="1">IFERROR(__xludf.DUMMYFUNCTION("""COMPUTED_VALUE"""),10)</f>
        <v>10</v>
      </c>
      <c r="S357" s="24" t="str">
        <f ca="1">IFERROR(__xludf.DUMMYFUNCTION("""COMPUTED_VALUE"""),"Prankster")</f>
        <v>Prankster</v>
      </c>
      <c r="T357" s="24" t="str">
        <f ca="1">IFERROR(__xludf.DUMMYFUNCTION("""COMPUTED_VALUE"""),"Frisk")</f>
        <v>Frisk</v>
      </c>
      <c r="U357" s="24" t="str">
        <f ca="1">IFERROR(__xludf.DUMMYFUNCTION("""COMPUTED_VALUE"""),"Pickpocket")</f>
        <v>Pickpocket</v>
      </c>
      <c r="V357" s="25" t="str">
        <f ca="1">IFERROR(__xludf.DUMMYFUNCTION("""COMPUTED_VALUE"""),"Lv. 24")</f>
        <v>Lv. 24</v>
      </c>
      <c r="W357" s="25"/>
      <c r="X357" s="25"/>
      <c r="Y357" s="25" t="str">
        <f ca="1">IFERROR(__xludf.DUMMYFUNCTION("""COMPUTED_VALUE"""),"Port Pello, Kaptara Island (wild)")</f>
        <v>Port Pello, Kaptara Island (wild)</v>
      </c>
    </row>
    <row r="358" spans="1:25" x14ac:dyDescent="0.25">
      <c r="A358" s="15" t="str">
        <f ca="1">IFERROR(__xludf.DUMMYFUNCTION("""COMPUTED_VALUE"""),"Grimmsnarl")</f>
        <v>Grimmsnarl</v>
      </c>
      <c r="B358" s="16">
        <f ca="1">IFERROR(__xludf.DUMMYFUNCTION("""COMPUTED_VALUE"""),357)</f>
        <v>357</v>
      </c>
      <c r="C358" s="3" t="str">
        <f ca="1">IFERROR(__xludf.DUMMYFUNCTION("""COMPUTED_VALUE"""),"Dark")</f>
        <v>Dark</v>
      </c>
      <c r="D358" s="3" t="str">
        <f ca="1">IFERROR(__xludf.DUMMYFUNCTION("""COMPUTED_VALUE"""),"Fairy")</f>
        <v>Fairy</v>
      </c>
      <c r="E358" s="17">
        <f ca="1">IFERROR(__xludf.DUMMYFUNCTION("""COMPUTED_VALUE"""),95)</f>
        <v>95</v>
      </c>
      <c r="F358" s="17">
        <f ca="1">IFERROR(__xludf.DUMMYFUNCTION("""COMPUTED_VALUE"""),0)</f>
        <v>0</v>
      </c>
      <c r="G358" s="18">
        <f ca="1">IFERROR(__xludf.DUMMYFUNCTION("""COMPUTED_VALUE"""),120)</f>
        <v>120</v>
      </c>
      <c r="H358" s="18">
        <f ca="1">IFERROR(__xludf.DUMMYFUNCTION("""COMPUTED_VALUE"""),0)</f>
        <v>0</v>
      </c>
      <c r="I358" s="19">
        <f ca="1">IFERROR(__xludf.DUMMYFUNCTION("""COMPUTED_VALUE"""),75)</f>
        <v>75</v>
      </c>
      <c r="J358" s="19">
        <f ca="1">IFERROR(__xludf.DUMMYFUNCTION("""COMPUTED_VALUE"""),10)</f>
        <v>10</v>
      </c>
      <c r="K358" s="20">
        <f ca="1">IFERROR(__xludf.DUMMYFUNCTION("""COMPUTED_VALUE"""),75)</f>
        <v>75</v>
      </c>
      <c r="L358" s="20">
        <f ca="1">IFERROR(__xludf.DUMMYFUNCTION("""COMPUTED_VALUE"""),-20)</f>
        <v>-20</v>
      </c>
      <c r="M358" s="21">
        <f ca="1">IFERROR(__xludf.DUMMYFUNCTION("""COMPUTED_VALUE"""),85)</f>
        <v>85</v>
      </c>
      <c r="N358" s="21">
        <f ca="1">IFERROR(__xludf.DUMMYFUNCTION("""COMPUTED_VALUE"""),10)</f>
        <v>10</v>
      </c>
      <c r="O358" s="22">
        <f ca="1">IFERROR(__xludf.DUMMYFUNCTION("""COMPUTED_VALUE"""),60)</f>
        <v>60</v>
      </c>
      <c r="P358" s="22">
        <f ca="1">IFERROR(__xludf.DUMMYFUNCTION("""COMPUTED_VALUE"""),0)</f>
        <v>0</v>
      </c>
      <c r="Q358" s="23">
        <f ca="1">IFERROR(__xludf.DUMMYFUNCTION("""COMPUTED_VALUE"""),510)</f>
        <v>510</v>
      </c>
      <c r="R358" s="23">
        <f ca="1">IFERROR(__xludf.DUMMYFUNCTION("""COMPUTED_VALUE"""),0)</f>
        <v>0</v>
      </c>
      <c r="S358" s="24" t="str">
        <f ca="1">IFERROR(__xludf.DUMMYFUNCTION("""COMPUTED_VALUE"""),"Prankster")</f>
        <v>Prankster</v>
      </c>
      <c r="T358" s="24" t="str">
        <f ca="1">IFERROR(__xludf.DUMMYFUNCTION("""COMPUTED_VALUE"""),"Tangling Hair")</f>
        <v>Tangling Hair</v>
      </c>
      <c r="U358" s="24" t="str">
        <f ca="1">IFERROR(__xludf.DUMMYFUNCTION("""COMPUTED_VALUE"""),"Pickpocket")</f>
        <v>Pickpocket</v>
      </c>
      <c r="V358" s="25" t="str">
        <f ca="1">IFERROR(__xludf.DUMMYFUNCTION("""COMPUTED_VALUE"""),"Lv. 42")</f>
        <v>Lv. 42</v>
      </c>
      <c r="W358" s="25"/>
      <c r="X358" s="25"/>
      <c r="Y358" s="25" t="str">
        <f ca="1">IFERROR(__xludf.DUMMYFUNCTION("""COMPUTED_VALUE"""),"Port Pello (wild)")</f>
        <v>Port Pello (wild)</v>
      </c>
    </row>
    <row r="359" spans="1:25" x14ac:dyDescent="0.25">
      <c r="A359" s="15" t="str">
        <f ca="1">IFERROR(__xludf.DUMMYFUNCTION("""COMPUTED_VALUE"""),"Swablu")</f>
        <v>Swablu</v>
      </c>
      <c r="B359" s="16">
        <f ca="1">IFERROR(__xludf.DUMMYFUNCTION("""COMPUTED_VALUE"""),358)</f>
        <v>358</v>
      </c>
      <c r="C359" s="3" t="str">
        <f ca="1">IFERROR(__xludf.DUMMYFUNCTION("""COMPUTED_VALUE"""),"Flying")</f>
        <v>Flying</v>
      </c>
      <c r="D359" s="3" t="str">
        <f ca="1">IFERROR(__xludf.DUMMYFUNCTION("""COMPUTED_VALUE"""),"Fairy")</f>
        <v>Fairy</v>
      </c>
      <c r="E359" s="17">
        <f ca="1">IFERROR(__xludf.DUMMYFUNCTION("""COMPUTED_VALUE"""),50)</f>
        <v>50</v>
      </c>
      <c r="F359" s="17">
        <f ca="1">IFERROR(__xludf.DUMMYFUNCTION("""COMPUTED_VALUE"""),5)</f>
        <v>5</v>
      </c>
      <c r="G359" s="18">
        <f ca="1">IFERROR(__xludf.DUMMYFUNCTION("""COMPUTED_VALUE"""),40)</f>
        <v>40</v>
      </c>
      <c r="H359" s="18">
        <f ca="1">IFERROR(__xludf.DUMMYFUNCTION("""COMPUTED_VALUE"""),0)</f>
        <v>0</v>
      </c>
      <c r="I359" s="19">
        <f ca="1">IFERROR(__xludf.DUMMYFUNCTION("""COMPUTED_VALUE"""),65)</f>
        <v>65</v>
      </c>
      <c r="J359" s="19">
        <f ca="1">IFERROR(__xludf.DUMMYFUNCTION("""COMPUTED_VALUE"""),5)</f>
        <v>5</v>
      </c>
      <c r="K359" s="20">
        <f ca="1">IFERROR(__xludf.DUMMYFUNCTION("""COMPUTED_VALUE"""),50)</f>
        <v>50</v>
      </c>
      <c r="L359" s="20">
        <f ca="1">IFERROR(__xludf.DUMMYFUNCTION("""COMPUTED_VALUE"""),10)</f>
        <v>10</v>
      </c>
      <c r="M359" s="21">
        <f ca="1">IFERROR(__xludf.DUMMYFUNCTION("""COMPUTED_VALUE"""),75)</f>
        <v>75</v>
      </c>
      <c r="N359" s="21">
        <f ca="1">IFERROR(__xludf.DUMMYFUNCTION("""COMPUTED_VALUE"""),0)</f>
        <v>0</v>
      </c>
      <c r="O359" s="22">
        <f ca="1">IFERROR(__xludf.DUMMYFUNCTION("""COMPUTED_VALUE"""),50)</f>
        <v>50</v>
      </c>
      <c r="P359" s="22">
        <f ca="1">IFERROR(__xludf.DUMMYFUNCTION("""COMPUTED_VALUE"""),0)</f>
        <v>0</v>
      </c>
      <c r="Q359" s="23">
        <f ca="1">IFERROR(__xludf.DUMMYFUNCTION("""COMPUTED_VALUE"""),330)</f>
        <v>330</v>
      </c>
      <c r="R359" s="23">
        <f ca="1">IFERROR(__xludf.DUMMYFUNCTION("""COMPUTED_VALUE"""),20)</f>
        <v>20</v>
      </c>
      <c r="S359" s="24" t="str">
        <f ca="1">IFERROR(__xludf.DUMMYFUNCTION("""COMPUTED_VALUE"""),"Natural Cure")</f>
        <v>Natural Cure</v>
      </c>
      <c r="T359" s="24" t="str">
        <f ca="1">IFERROR(__xludf.DUMMYFUNCTION("""COMPUTED_VALUE"""),"Pixilate")</f>
        <v>Pixilate</v>
      </c>
      <c r="U359" s="24" t="str">
        <f ca="1">IFERROR(__xludf.DUMMYFUNCTION("""COMPUTED_VALUE"""),"Fluffy")</f>
        <v>Fluffy</v>
      </c>
      <c r="V359" s="25"/>
      <c r="W359" s="25"/>
      <c r="X359" s="25"/>
      <c r="Y359" s="25" t="str">
        <f ca="1">IFERROR(__xludf.DUMMYFUNCTION("""COMPUTED_VALUE"""),"Marmaro Island, Sea of Vulcai (wild)")</f>
        <v>Marmaro Island, Sea of Vulcai (wild)</v>
      </c>
    </row>
    <row r="360" spans="1:25" x14ac:dyDescent="0.25">
      <c r="A360" s="15" t="str">
        <f ca="1">IFERROR(__xludf.DUMMYFUNCTION("""COMPUTED_VALUE"""),"Altaria")</f>
        <v>Altaria</v>
      </c>
      <c r="B360" s="16">
        <f ca="1">IFERROR(__xludf.DUMMYFUNCTION("""COMPUTED_VALUE"""),359)</f>
        <v>359</v>
      </c>
      <c r="C360" s="3" t="str">
        <f ca="1">IFERROR(__xludf.DUMMYFUNCTION("""COMPUTED_VALUE"""),"Dragon")</f>
        <v>Dragon</v>
      </c>
      <c r="D360" s="3" t="str">
        <f ca="1">IFERROR(__xludf.DUMMYFUNCTION("""COMPUTED_VALUE"""),"Fairy")</f>
        <v>Fairy</v>
      </c>
      <c r="E360" s="17">
        <f ca="1">IFERROR(__xludf.DUMMYFUNCTION("""COMPUTED_VALUE"""),105)</f>
        <v>105</v>
      </c>
      <c r="F360" s="17">
        <f ca="1">IFERROR(__xludf.DUMMYFUNCTION("""COMPUTED_VALUE"""),30)</f>
        <v>30</v>
      </c>
      <c r="G360" s="18">
        <f ca="1">IFERROR(__xludf.DUMMYFUNCTION("""COMPUTED_VALUE"""),70)</f>
        <v>70</v>
      </c>
      <c r="H360" s="18">
        <f ca="1">IFERROR(__xludf.DUMMYFUNCTION("""COMPUTED_VALUE"""),0)</f>
        <v>0</v>
      </c>
      <c r="I360" s="19">
        <f ca="1">IFERROR(__xludf.DUMMYFUNCTION("""COMPUTED_VALUE"""),85)</f>
        <v>85</v>
      </c>
      <c r="J360" s="19">
        <f ca="1">IFERROR(__xludf.DUMMYFUNCTION("""COMPUTED_VALUE"""),-5)</f>
        <v>-5</v>
      </c>
      <c r="K360" s="20">
        <f ca="1">IFERROR(__xludf.DUMMYFUNCTION("""COMPUTED_VALUE"""),85)</f>
        <v>85</v>
      </c>
      <c r="L360" s="20">
        <f ca="1">IFERROR(__xludf.DUMMYFUNCTION("""COMPUTED_VALUE"""),15)</f>
        <v>15</v>
      </c>
      <c r="M360" s="21">
        <f ca="1">IFERROR(__xludf.DUMMYFUNCTION("""COMPUTED_VALUE"""),105)</f>
        <v>105</v>
      </c>
      <c r="N360" s="21">
        <f ca="1">IFERROR(__xludf.DUMMYFUNCTION("""COMPUTED_VALUE"""),0)</f>
        <v>0</v>
      </c>
      <c r="O360" s="22">
        <f ca="1">IFERROR(__xludf.DUMMYFUNCTION("""COMPUTED_VALUE"""),80)</f>
        <v>80</v>
      </c>
      <c r="P360" s="22">
        <f ca="1">IFERROR(__xludf.DUMMYFUNCTION("""COMPUTED_VALUE"""),0)</f>
        <v>0</v>
      </c>
      <c r="Q360" s="23">
        <f ca="1">IFERROR(__xludf.DUMMYFUNCTION("""COMPUTED_VALUE"""),530)</f>
        <v>530</v>
      </c>
      <c r="R360" s="23">
        <f ca="1">IFERROR(__xludf.DUMMYFUNCTION("""COMPUTED_VALUE"""),40)</f>
        <v>40</v>
      </c>
      <c r="S360" s="24" t="str">
        <f ca="1">IFERROR(__xludf.DUMMYFUNCTION("""COMPUTED_VALUE"""),"Natural Cure")</f>
        <v>Natural Cure</v>
      </c>
      <c r="T360" s="24" t="str">
        <f ca="1">IFERROR(__xludf.DUMMYFUNCTION("""COMPUTED_VALUE"""),"Vocalist (Punk Rock)")</f>
        <v>Vocalist (Punk Rock)</v>
      </c>
      <c r="U360" s="24" t="str">
        <f ca="1">IFERROR(__xludf.DUMMYFUNCTION("""COMPUTED_VALUE"""),"Fluffy")</f>
        <v>Fluffy</v>
      </c>
      <c r="V360" s="25" t="str">
        <f ca="1">IFERROR(__xludf.DUMMYFUNCTION("""COMPUTED_VALUE"""),"Lv. 35")</f>
        <v>Lv. 35</v>
      </c>
      <c r="W360" s="25"/>
      <c r="X360" s="25"/>
      <c r="Y360" s="25" t="str">
        <f ca="1">IFERROR(__xludf.DUMMYFUNCTION("""COMPUTED_VALUE"""),"Kaptara Island (wild)")</f>
        <v>Kaptara Island (wild)</v>
      </c>
    </row>
    <row r="361" spans="1:25" x14ac:dyDescent="0.25">
      <c r="A361" s="15" t="str">
        <f ca="1">IFERROR(__xludf.DUMMYFUNCTION("""COMPUTED_VALUE"""),"Mankey ")</f>
        <v xml:space="preserve">Mankey </v>
      </c>
      <c r="B361" s="16">
        <f ca="1">IFERROR(__xludf.DUMMYFUNCTION("""COMPUTED_VALUE"""),360)</f>
        <v>360</v>
      </c>
      <c r="C361" s="3" t="str">
        <f ca="1">IFERROR(__xludf.DUMMYFUNCTION("""COMPUTED_VALUE"""),"Fighting")</f>
        <v>Fighting</v>
      </c>
      <c r="D361" s="3"/>
      <c r="E361" s="17">
        <f ca="1">IFERROR(__xludf.DUMMYFUNCTION("""COMPUTED_VALUE"""),40)</f>
        <v>40</v>
      </c>
      <c r="F361" s="17">
        <f ca="1">IFERROR(__xludf.DUMMYFUNCTION("""COMPUTED_VALUE"""),0)</f>
        <v>0</v>
      </c>
      <c r="G361" s="18">
        <f ca="1">IFERROR(__xludf.DUMMYFUNCTION("""COMPUTED_VALUE"""),80)</f>
        <v>80</v>
      </c>
      <c r="H361" s="18">
        <f ca="1">IFERROR(__xludf.DUMMYFUNCTION("""COMPUTED_VALUE"""),0)</f>
        <v>0</v>
      </c>
      <c r="I361" s="19">
        <f ca="1">IFERROR(__xludf.DUMMYFUNCTION("""COMPUTED_VALUE"""),35)</f>
        <v>35</v>
      </c>
      <c r="J361" s="19">
        <f ca="1">IFERROR(__xludf.DUMMYFUNCTION("""COMPUTED_VALUE"""),0)</f>
        <v>0</v>
      </c>
      <c r="K361" s="20">
        <f ca="1">IFERROR(__xludf.DUMMYFUNCTION("""COMPUTED_VALUE"""),35)</f>
        <v>35</v>
      </c>
      <c r="L361" s="20">
        <f ca="1">IFERROR(__xludf.DUMMYFUNCTION("""COMPUTED_VALUE"""),0)</f>
        <v>0</v>
      </c>
      <c r="M361" s="21">
        <f ca="1">IFERROR(__xludf.DUMMYFUNCTION("""COMPUTED_VALUE"""),45)</f>
        <v>45</v>
      </c>
      <c r="N361" s="21">
        <f ca="1">IFERROR(__xludf.DUMMYFUNCTION("""COMPUTED_VALUE"""),0)</f>
        <v>0</v>
      </c>
      <c r="O361" s="22">
        <f ca="1">IFERROR(__xludf.DUMMYFUNCTION("""COMPUTED_VALUE"""),70)</f>
        <v>70</v>
      </c>
      <c r="P361" s="22">
        <f ca="1">IFERROR(__xludf.DUMMYFUNCTION("""COMPUTED_VALUE"""),0)</f>
        <v>0</v>
      </c>
      <c r="Q361" s="23">
        <f ca="1">IFERROR(__xludf.DUMMYFUNCTION("""COMPUTED_VALUE"""),305)</f>
        <v>305</v>
      </c>
      <c r="R361" s="23">
        <f ca="1">IFERROR(__xludf.DUMMYFUNCTION("""COMPUTED_VALUE"""),0)</f>
        <v>0</v>
      </c>
      <c r="S361" s="24" t="str">
        <f ca="1">IFERROR(__xludf.DUMMYFUNCTION("""COMPUTED_VALUE"""),"Vital Spirit")</f>
        <v>Vital Spirit</v>
      </c>
      <c r="T361" s="24" t="str">
        <f ca="1">IFERROR(__xludf.DUMMYFUNCTION("""COMPUTED_VALUE"""),"Anger Point")</f>
        <v>Anger Point</v>
      </c>
      <c r="U361" s="24" t="str">
        <f ca="1">IFERROR(__xludf.DUMMYFUNCTION("""COMPUTED_VALUE"""),"Gorilla Tactics")</f>
        <v>Gorilla Tactics</v>
      </c>
      <c r="V361" s="25"/>
      <c r="W361" s="25"/>
      <c r="X361" s="25"/>
      <c r="Y361" s="25" t="str">
        <f ca="1">IFERROR(__xludf.DUMMYFUNCTION("""COMPUTED_VALUE"""),"Acrisia Mountains (wild)")</f>
        <v>Acrisia Mountains (wild)</v>
      </c>
    </row>
    <row r="362" spans="1:25" x14ac:dyDescent="0.25">
      <c r="A362" s="15" t="str">
        <f ca="1">IFERROR(__xludf.DUMMYFUNCTION("""COMPUTED_VALUE"""),"Primeape")</f>
        <v>Primeape</v>
      </c>
      <c r="B362" s="16">
        <f ca="1">IFERROR(__xludf.DUMMYFUNCTION("""COMPUTED_VALUE"""),361)</f>
        <v>361</v>
      </c>
      <c r="C362" s="3" t="str">
        <f ca="1">IFERROR(__xludf.DUMMYFUNCTION("""COMPUTED_VALUE"""),"Fighting")</f>
        <v>Fighting</v>
      </c>
      <c r="D362" s="3"/>
      <c r="E362" s="17">
        <f ca="1">IFERROR(__xludf.DUMMYFUNCTION("""COMPUTED_VALUE"""),65)</f>
        <v>65</v>
      </c>
      <c r="F362" s="17">
        <f ca="1">IFERROR(__xludf.DUMMYFUNCTION("""COMPUTED_VALUE"""),0)</f>
        <v>0</v>
      </c>
      <c r="G362" s="18">
        <f ca="1">IFERROR(__xludf.DUMMYFUNCTION("""COMPUTED_VALUE"""),105)</f>
        <v>105</v>
      </c>
      <c r="H362" s="18">
        <f ca="1">IFERROR(__xludf.DUMMYFUNCTION("""COMPUTED_VALUE"""),0)</f>
        <v>0</v>
      </c>
      <c r="I362" s="19">
        <f ca="1">IFERROR(__xludf.DUMMYFUNCTION("""COMPUTED_VALUE"""),60)</f>
        <v>60</v>
      </c>
      <c r="J362" s="19">
        <f ca="1">IFERROR(__xludf.DUMMYFUNCTION("""COMPUTED_VALUE"""),0)</f>
        <v>0</v>
      </c>
      <c r="K362" s="20">
        <f ca="1">IFERROR(__xludf.DUMMYFUNCTION("""COMPUTED_VALUE"""),60)</f>
        <v>60</v>
      </c>
      <c r="L362" s="20">
        <f ca="1">IFERROR(__xludf.DUMMYFUNCTION("""COMPUTED_VALUE"""),0)</f>
        <v>0</v>
      </c>
      <c r="M362" s="21">
        <f ca="1">IFERROR(__xludf.DUMMYFUNCTION("""COMPUTED_VALUE"""),70)</f>
        <v>70</v>
      </c>
      <c r="N362" s="21">
        <f ca="1">IFERROR(__xludf.DUMMYFUNCTION("""COMPUTED_VALUE"""),0)</f>
        <v>0</v>
      </c>
      <c r="O362" s="22">
        <f ca="1">IFERROR(__xludf.DUMMYFUNCTION("""COMPUTED_VALUE"""),95)</f>
        <v>95</v>
      </c>
      <c r="P362" s="22">
        <f ca="1">IFERROR(__xludf.DUMMYFUNCTION("""COMPUTED_VALUE"""),0)</f>
        <v>0</v>
      </c>
      <c r="Q362" s="23">
        <f ca="1">IFERROR(__xludf.DUMMYFUNCTION("""COMPUTED_VALUE"""),455)</f>
        <v>455</v>
      </c>
      <c r="R362" s="23">
        <f ca="1">IFERROR(__xludf.DUMMYFUNCTION("""COMPUTED_VALUE"""),0)</f>
        <v>0</v>
      </c>
      <c r="S362" s="24" t="str">
        <f ca="1">IFERROR(__xludf.DUMMYFUNCTION("""COMPUTED_VALUE"""),"Vital Spirit")</f>
        <v>Vital Spirit</v>
      </c>
      <c r="T362" s="24" t="str">
        <f ca="1">IFERROR(__xludf.DUMMYFUNCTION("""COMPUTED_VALUE"""),"Anger Point")</f>
        <v>Anger Point</v>
      </c>
      <c r="U362" s="24" t="str">
        <f ca="1">IFERROR(__xludf.DUMMYFUNCTION("""COMPUTED_VALUE"""),"Gorilla Tactics")</f>
        <v>Gorilla Tactics</v>
      </c>
      <c r="V362" s="25" t="str">
        <f ca="1">IFERROR(__xludf.DUMMYFUNCTION("""COMPUTED_VALUE"""),"Lv. 28")</f>
        <v>Lv. 28</v>
      </c>
      <c r="W362" s="25"/>
      <c r="X362" s="25"/>
      <c r="Y362" s="25" t="str">
        <f ca="1">IFERROR(__xludf.DUMMYFUNCTION("""COMPUTED_VALUE"""),"Areios Hideout (wild)")</f>
        <v>Areios Hideout (wild)</v>
      </c>
    </row>
    <row r="363" spans="1:25" x14ac:dyDescent="0.25">
      <c r="A363" s="15" t="str">
        <f ca="1">IFERROR(__xludf.DUMMYFUNCTION("""COMPUTED_VALUE"""),"Annihilape")</f>
        <v>Annihilape</v>
      </c>
      <c r="B363" s="16">
        <f ca="1">IFERROR(__xludf.DUMMYFUNCTION("""COMPUTED_VALUE"""),362)</f>
        <v>362</v>
      </c>
      <c r="C363" s="3" t="str">
        <f ca="1">IFERROR(__xludf.DUMMYFUNCTION("""COMPUTED_VALUE"""),"Fighting")</f>
        <v>Fighting</v>
      </c>
      <c r="D363" s="3" t="str">
        <f ca="1">IFERROR(__xludf.DUMMYFUNCTION("""COMPUTED_VALUE"""),"Ghost")</f>
        <v>Ghost</v>
      </c>
      <c r="E363" s="17">
        <f ca="1">IFERROR(__xludf.DUMMYFUNCTION("""COMPUTED_VALUE"""),110)</f>
        <v>110</v>
      </c>
      <c r="F363" s="17">
        <f ca="1">IFERROR(__xludf.DUMMYFUNCTION("""COMPUTED_VALUE"""),0)</f>
        <v>0</v>
      </c>
      <c r="G363" s="18">
        <f ca="1">IFERROR(__xludf.DUMMYFUNCTION("""COMPUTED_VALUE"""),115)</f>
        <v>115</v>
      </c>
      <c r="H363" s="18">
        <f ca="1">IFERROR(__xludf.DUMMYFUNCTION("""COMPUTED_VALUE"""),0)</f>
        <v>0</v>
      </c>
      <c r="I363" s="19">
        <f ca="1">IFERROR(__xludf.DUMMYFUNCTION("""COMPUTED_VALUE"""),80)</f>
        <v>80</v>
      </c>
      <c r="J363" s="19">
        <f ca="1">IFERROR(__xludf.DUMMYFUNCTION("""COMPUTED_VALUE"""),0)</f>
        <v>0</v>
      </c>
      <c r="K363" s="20">
        <f ca="1">IFERROR(__xludf.DUMMYFUNCTION("""COMPUTED_VALUE"""),50)</f>
        <v>50</v>
      </c>
      <c r="L363" s="20">
        <f ca="1">IFERROR(__xludf.DUMMYFUNCTION("""COMPUTED_VALUE"""),0)</f>
        <v>0</v>
      </c>
      <c r="M363" s="21">
        <f ca="1">IFERROR(__xludf.DUMMYFUNCTION("""COMPUTED_VALUE"""),90)</f>
        <v>90</v>
      </c>
      <c r="N363" s="21">
        <f ca="1">IFERROR(__xludf.DUMMYFUNCTION("""COMPUTED_VALUE"""),0)</f>
        <v>0</v>
      </c>
      <c r="O363" s="22">
        <f ca="1">IFERROR(__xludf.DUMMYFUNCTION("""COMPUTED_VALUE"""),90)</f>
        <v>90</v>
      </c>
      <c r="P363" s="22">
        <f ca="1">IFERROR(__xludf.DUMMYFUNCTION("""COMPUTED_VALUE"""),0)</f>
        <v>0</v>
      </c>
      <c r="Q363" s="23">
        <f ca="1">IFERROR(__xludf.DUMMYFUNCTION("""COMPUTED_VALUE"""),535)</f>
        <v>535</v>
      </c>
      <c r="R363" s="23">
        <f ca="1">IFERROR(__xludf.DUMMYFUNCTION("""COMPUTED_VALUE"""),0)</f>
        <v>0</v>
      </c>
      <c r="S363" s="24" t="str">
        <f ca="1">IFERROR(__xludf.DUMMYFUNCTION("""COMPUTED_VALUE"""),"Vital Spirit")</f>
        <v>Vital Spirit</v>
      </c>
      <c r="T363" s="24" t="str">
        <f ca="1">IFERROR(__xludf.DUMMYFUNCTION("""COMPUTED_VALUE"""),"Inner Focus")</f>
        <v>Inner Focus</v>
      </c>
      <c r="U363" s="24" t="str">
        <f ca="1">IFERROR(__xludf.DUMMYFUNCTION("""COMPUTED_VALUE"""),"Gorilla Tactics")</f>
        <v>Gorilla Tactics</v>
      </c>
      <c r="V363" s="25" t="str">
        <f ca="1">IFERROR(__xludf.DUMMYFUNCTION("""COMPUTED_VALUE"""),"Lv. after using Rage Fist 20x")</f>
        <v>Lv. after using Rage Fist 20x</v>
      </c>
      <c r="W363" s="25"/>
      <c r="X363" s="25"/>
      <c r="Y363" s="25" t="str">
        <f ca="1">IFERROR(__xludf.DUMMYFUNCTION("""COMPUTED_VALUE"""),"Primeape (evolve)")</f>
        <v>Primeape (evolve)</v>
      </c>
    </row>
    <row r="364" spans="1:25" x14ac:dyDescent="0.25">
      <c r="A364" s="15" t="str">
        <f ca="1">IFERROR(__xludf.DUMMYFUNCTION("""COMPUTED_VALUE"""),"Voltorb")</f>
        <v>Voltorb</v>
      </c>
      <c r="B364" s="16">
        <f ca="1">IFERROR(__xludf.DUMMYFUNCTION("""COMPUTED_VALUE"""),363)</f>
        <v>363</v>
      </c>
      <c r="C364" s="3" t="str">
        <f ca="1">IFERROR(__xludf.DUMMYFUNCTION("""COMPUTED_VALUE"""),"Electric")</f>
        <v>Electric</v>
      </c>
      <c r="D364" s="3"/>
      <c r="E364" s="17">
        <f ca="1">IFERROR(__xludf.DUMMYFUNCTION("""COMPUTED_VALUE"""),40)</f>
        <v>40</v>
      </c>
      <c r="F364" s="17">
        <f ca="1">IFERROR(__xludf.DUMMYFUNCTION("""COMPUTED_VALUE"""),0)</f>
        <v>0</v>
      </c>
      <c r="G364" s="18">
        <f ca="1">IFERROR(__xludf.DUMMYFUNCTION("""COMPUTED_VALUE"""),30)</f>
        <v>30</v>
      </c>
      <c r="H364" s="18">
        <f ca="1">IFERROR(__xludf.DUMMYFUNCTION("""COMPUTED_VALUE"""),0)</f>
        <v>0</v>
      </c>
      <c r="I364" s="19">
        <f ca="1">IFERROR(__xludf.DUMMYFUNCTION("""COMPUTED_VALUE"""),50)</f>
        <v>50</v>
      </c>
      <c r="J364" s="19">
        <f ca="1">IFERROR(__xludf.DUMMYFUNCTION("""COMPUTED_VALUE"""),0)</f>
        <v>0</v>
      </c>
      <c r="K364" s="20">
        <f ca="1">IFERROR(__xludf.DUMMYFUNCTION("""COMPUTED_VALUE"""),55)</f>
        <v>55</v>
      </c>
      <c r="L364" s="20">
        <f ca="1">IFERROR(__xludf.DUMMYFUNCTION("""COMPUTED_VALUE"""),0)</f>
        <v>0</v>
      </c>
      <c r="M364" s="21">
        <f ca="1">IFERROR(__xludf.DUMMYFUNCTION("""COMPUTED_VALUE"""),55)</f>
        <v>55</v>
      </c>
      <c r="N364" s="21">
        <f ca="1">IFERROR(__xludf.DUMMYFUNCTION("""COMPUTED_VALUE"""),0)</f>
        <v>0</v>
      </c>
      <c r="O364" s="22">
        <f ca="1">IFERROR(__xludf.DUMMYFUNCTION("""COMPUTED_VALUE"""),100)</f>
        <v>100</v>
      </c>
      <c r="P364" s="22">
        <f ca="1">IFERROR(__xludf.DUMMYFUNCTION("""COMPUTED_VALUE"""),0)</f>
        <v>0</v>
      </c>
      <c r="Q364" s="23">
        <f ca="1">IFERROR(__xludf.DUMMYFUNCTION("""COMPUTED_VALUE"""),330)</f>
        <v>330</v>
      </c>
      <c r="R364" s="23">
        <f ca="1">IFERROR(__xludf.DUMMYFUNCTION("""COMPUTED_VALUE"""),0)</f>
        <v>0</v>
      </c>
      <c r="S364" s="24" t="str">
        <f ca="1">IFERROR(__xludf.DUMMYFUNCTION("""COMPUTED_VALUE"""),"Soundproof")</f>
        <v>Soundproof</v>
      </c>
      <c r="T364" s="24" t="str">
        <f ca="1">IFERROR(__xludf.DUMMYFUNCTION("""COMPUTED_VALUE"""),"Static")</f>
        <v>Static</v>
      </c>
      <c r="U364" s="24" t="str">
        <f ca="1">IFERROR(__xludf.DUMMYFUNCTION("""COMPUTED_VALUE"""),"Aftermath")</f>
        <v>Aftermath</v>
      </c>
      <c r="V364" s="25"/>
      <c r="W364" s="25"/>
      <c r="X364" s="25"/>
      <c r="Y364" s="25" t="str">
        <f ca="1">IFERROR(__xludf.DUMMYFUNCTION("""COMPUTED_VALUE"""),"Jusmail Town, Sea of Vulcai (wild)")</f>
        <v>Jusmail Town, Sea of Vulcai (wild)</v>
      </c>
    </row>
    <row r="365" spans="1:25" x14ac:dyDescent="0.25">
      <c r="A365" s="15" t="str">
        <f ca="1">IFERROR(__xludf.DUMMYFUNCTION("""COMPUTED_VALUE"""),"Electrode")</f>
        <v>Electrode</v>
      </c>
      <c r="B365" s="16">
        <f ca="1">IFERROR(__xludf.DUMMYFUNCTION("""COMPUTED_VALUE"""),364)</f>
        <v>364</v>
      </c>
      <c r="C365" s="3" t="str">
        <f ca="1">IFERROR(__xludf.DUMMYFUNCTION("""COMPUTED_VALUE"""),"Electric")</f>
        <v>Electric</v>
      </c>
      <c r="D365" s="3"/>
      <c r="E365" s="17">
        <f ca="1">IFERROR(__xludf.DUMMYFUNCTION("""COMPUTED_VALUE"""),60)</f>
        <v>60</v>
      </c>
      <c r="F365" s="17">
        <f ca="1">IFERROR(__xludf.DUMMYFUNCTION("""COMPUTED_VALUE"""),0)</f>
        <v>0</v>
      </c>
      <c r="G365" s="18">
        <f ca="1">IFERROR(__xludf.DUMMYFUNCTION("""COMPUTED_VALUE"""),50)</f>
        <v>50</v>
      </c>
      <c r="H365" s="18">
        <f ca="1">IFERROR(__xludf.DUMMYFUNCTION("""COMPUTED_VALUE"""),0)</f>
        <v>0</v>
      </c>
      <c r="I365" s="19">
        <f ca="1">IFERROR(__xludf.DUMMYFUNCTION("""COMPUTED_VALUE"""),70)</f>
        <v>70</v>
      </c>
      <c r="J365" s="19">
        <f ca="1">IFERROR(__xludf.DUMMYFUNCTION("""COMPUTED_VALUE"""),0)</f>
        <v>0</v>
      </c>
      <c r="K365" s="20">
        <f ca="1">IFERROR(__xludf.DUMMYFUNCTION("""COMPUTED_VALUE"""),80)</f>
        <v>80</v>
      </c>
      <c r="L365" s="20">
        <f ca="1">IFERROR(__xludf.DUMMYFUNCTION("""COMPUTED_VALUE"""),0)</f>
        <v>0</v>
      </c>
      <c r="M365" s="21">
        <f ca="1">IFERROR(__xludf.DUMMYFUNCTION("""COMPUTED_VALUE"""),80)</f>
        <v>80</v>
      </c>
      <c r="N365" s="21">
        <f ca="1">IFERROR(__xludf.DUMMYFUNCTION("""COMPUTED_VALUE"""),0)</f>
        <v>0</v>
      </c>
      <c r="O365" s="22">
        <f ca="1">IFERROR(__xludf.DUMMYFUNCTION("""COMPUTED_VALUE"""),150)</f>
        <v>150</v>
      </c>
      <c r="P365" s="22">
        <f ca="1">IFERROR(__xludf.DUMMYFUNCTION("""COMPUTED_VALUE"""),0)</f>
        <v>0</v>
      </c>
      <c r="Q365" s="23">
        <f ca="1">IFERROR(__xludf.DUMMYFUNCTION("""COMPUTED_VALUE"""),490)</f>
        <v>490</v>
      </c>
      <c r="R365" s="23">
        <f ca="1">IFERROR(__xludf.DUMMYFUNCTION("""COMPUTED_VALUE"""),0)</f>
        <v>0</v>
      </c>
      <c r="S365" s="24" t="str">
        <f ca="1">IFERROR(__xludf.DUMMYFUNCTION("""COMPUTED_VALUE"""),"Soundproof")</f>
        <v>Soundproof</v>
      </c>
      <c r="T365" s="24" t="str">
        <f ca="1">IFERROR(__xludf.DUMMYFUNCTION("""COMPUTED_VALUE"""),"Static")</f>
        <v>Static</v>
      </c>
      <c r="U365" s="24" t="str">
        <f ca="1">IFERROR(__xludf.DUMMYFUNCTION("""COMPUTED_VALUE"""),"Aftermath")</f>
        <v>Aftermath</v>
      </c>
      <c r="V365" s="25" t="str">
        <f ca="1">IFERROR(__xludf.DUMMYFUNCTION("""COMPUTED_VALUE"""),"Lv. 30")</f>
        <v>Lv. 30</v>
      </c>
      <c r="W365" s="25"/>
      <c r="X365" s="25"/>
      <c r="Y365" s="25" t="str">
        <f ca="1">IFERROR(__xludf.DUMMYFUNCTION("""COMPUTED_VALUE"""),"Voltorb (evolve)")</f>
        <v>Voltorb (evolve)</v>
      </c>
    </row>
    <row r="366" spans="1:25" x14ac:dyDescent="0.25">
      <c r="A366" s="15" t="str">
        <f ca="1">IFERROR(__xludf.DUMMYFUNCTION("""COMPUTED_VALUE"""),"Lapras")</f>
        <v>Lapras</v>
      </c>
      <c r="B366" s="16">
        <f ca="1">IFERROR(__xludf.DUMMYFUNCTION("""COMPUTED_VALUE"""),365)</f>
        <v>365</v>
      </c>
      <c r="C366" s="3" t="str">
        <f ca="1">IFERROR(__xludf.DUMMYFUNCTION("""COMPUTED_VALUE"""),"Water")</f>
        <v>Water</v>
      </c>
      <c r="D366" s="3" t="str">
        <f ca="1">IFERROR(__xludf.DUMMYFUNCTION("""COMPUTED_VALUE"""),"Ice")</f>
        <v>Ice</v>
      </c>
      <c r="E366" s="17">
        <f ca="1">IFERROR(__xludf.DUMMYFUNCTION("""COMPUTED_VALUE"""),130)</f>
        <v>130</v>
      </c>
      <c r="F366" s="17">
        <f ca="1">IFERROR(__xludf.DUMMYFUNCTION("""COMPUTED_VALUE"""),0)</f>
        <v>0</v>
      </c>
      <c r="G366" s="18">
        <f ca="1">IFERROR(__xludf.DUMMYFUNCTION("""COMPUTED_VALUE"""),75)</f>
        <v>75</v>
      </c>
      <c r="H366" s="18">
        <f ca="1">IFERROR(__xludf.DUMMYFUNCTION("""COMPUTED_VALUE"""),-10)</f>
        <v>-10</v>
      </c>
      <c r="I366" s="19">
        <f ca="1">IFERROR(__xludf.DUMMYFUNCTION("""COMPUTED_VALUE"""),80)</f>
        <v>80</v>
      </c>
      <c r="J366" s="19">
        <f ca="1">IFERROR(__xludf.DUMMYFUNCTION("""COMPUTED_VALUE"""),0)</f>
        <v>0</v>
      </c>
      <c r="K366" s="20">
        <f ca="1">IFERROR(__xludf.DUMMYFUNCTION("""COMPUTED_VALUE"""),95)</f>
        <v>95</v>
      </c>
      <c r="L366" s="20">
        <f ca="1">IFERROR(__xludf.DUMMYFUNCTION("""COMPUTED_VALUE"""),10)</f>
        <v>10</v>
      </c>
      <c r="M366" s="21">
        <f ca="1">IFERROR(__xludf.DUMMYFUNCTION("""COMPUTED_VALUE"""),95)</f>
        <v>95</v>
      </c>
      <c r="N366" s="21">
        <f ca="1">IFERROR(__xludf.DUMMYFUNCTION("""COMPUTED_VALUE"""),0)</f>
        <v>0</v>
      </c>
      <c r="O366" s="22">
        <f ca="1">IFERROR(__xludf.DUMMYFUNCTION("""COMPUTED_VALUE"""),60)</f>
        <v>60</v>
      </c>
      <c r="P366" s="22">
        <f ca="1">IFERROR(__xludf.DUMMYFUNCTION("""COMPUTED_VALUE"""),0)</f>
        <v>0</v>
      </c>
      <c r="Q366" s="23">
        <f ca="1">IFERROR(__xludf.DUMMYFUNCTION("""COMPUTED_VALUE"""),535)</f>
        <v>535</v>
      </c>
      <c r="R366" s="23">
        <f ca="1">IFERROR(__xludf.DUMMYFUNCTION("""COMPUTED_VALUE"""),0)</f>
        <v>0</v>
      </c>
      <c r="S366" s="24" t="str">
        <f ca="1">IFERROR(__xludf.DUMMYFUNCTION("""COMPUTED_VALUE"""),"Water Absorb")</f>
        <v>Water Absorb</v>
      </c>
      <c r="T366" s="24" t="str">
        <f ca="1">IFERROR(__xludf.DUMMYFUNCTION("""COMPUTED_VALUE"""),"Shell Armor")</f>
        <v>Shell Armor</v>
      </c>
      <c r="U366" s="24" t="str">
        <f ca="1">IFERROR(__xludf.DUMMYFUNCTION("""COMPUTED_VALUE"""),"Hydration")</f>
        <v>Hydration</v>
      </c>
      <c r="V366" s="25"/>
      <c r="W366" s="25" t="str">
        <f ca="1">IFERROR(__xludf.DUMMYFUNCTION("""COMPUTED_VALUE"""),"Mystic Water")</f>
        <v>Mystic Water</v>
      </c>
      <c r="X366" s="25" t="str">
        <f ca="1">IFERROR(__xludf.DUMMYFUNCTION("""COMPUTED_VALUE"""),"Mystic Water")</f>
        <v>Mystic Water</v>
      </c>
      <c r="Y366" s="25" t="str">
        <f ca="1">IFERROR(__xludf.DUMMYFUNCTION("""COMPUTED_VALUE"""),"Froslass Cavern (wild)")</f>
        <v>Froslass Cavern (wild)</v>
      </c>
    </row>
    <row r="367" spans="1:25" x14ac:dyDescent="0.25">
      <c r="A367" s="15" t="str">
        <f ca="1">IFERROR(__xludf.DUMMYFUNCTION("""COMPUTED_VALUE"""),"Girafarig")</f>
        <v>Girafarig</v>
      </c>
      <c r="B367" s="16">
        <f ca="1">IFERROR(__xludf.DUMMYFUNCTION("""COMPUTED_VALUE"""),366)</f>
        <v>366</v>
      </c>
      <c r="C367" s="3" t="str">
        <f ca="1">IFERROR(__xludf.DUMMYFUNCTION("""COMPUTED_VALUE"""),"Normal")</f>
        <v>Normal</v>
      </c>
      <c r="D367" s="3" t="str">
        <f ca="1">IFERROR(__xludf.DUMMYFUNCTION("""COMPUTED_VALUE"""),"Psychic")</f>
        <v>Psychic</v>
      </c>
      <c r="E367" s="17">
        <f ca="1">IFERROR(__xludf.DUMMYFUNCTION("""COMPUTED_VALUE"""),70)</f>
        <v>70</v>
      </c>
      <c r="F367" s="17">
        <f ca="1">IFERROR(__xludf.DUMMYFUNCTION("""COMPUTED_VALUE"""),0)</f>
        <v>0</v>
      </c>
      <c r="G367" s="18">
        <f ca="1">IFERROR(__xludf.DUMMYFUNCTION("""COMPUTED_VALUE"""),80)</f>
        <v>80</v>
      </c>
      <c r="H367" s="18">
        <f ca="1">IFERROR(__xludf.DUMMYFUNCTION("""COMPUTED_VALUE"""),0)</f>
        <v>0</v>
      </c>
      <c r="I367" s="19">
        <f ca="1">IFERROR(__xludf.DUMMYFUNCTION("""COMPUTED_VALUE"""),65)</f>
        <v>65</v>
      </c>
      <c r="J367" s="19">
        <f ca="1">IFERROR(__xludf.DUMMYFUNCTION("""COMPUTED_VALUE"""),0)</f>
        <v>0</v>
      </c>
      <c r="K367" s="20">
        <f ca="1">IFERROR(__xludf.DUMMYFUNCTION("""COMPUTED_VALUE"""),90)</f>
        <v>90</v>
      </c>
      <c r="L367" s="20">
        <f ca="1">IFERROR(__xludf.DUMMYFUNCTION("""COMPUTED_VALUE"""),0)</f>
        <v>0</v>
      </c>
      <c r="M367" s="21">
        <f ca="1">IFERROR(__xludf.DUMMYFUNCTION("""COMPUTED_VALUE"""),65)</f>
        <v>65</v>
      </c>
      <c r="N367" s="21">
        <f ca="1">IFERROR(__xludf.DUMMYFUNCTION("""COMPUTED_VALUE"""),0)</f>
        <v>0</v>
      </c>
      <c r="O367" s="22">
        <f ca="1">IFERROR(__xludf.DUMMYFUNCTION("""COMPUTED_VALUE"""),85)</f>
        <v>85</v>
      </c>
      <c r="P367" s="22">
        <f ca="1">IFERROR(__xludf.DUMMYFUNCTION("""COMPUTED_VALUE"""),0)</f>
        <v>0</v>
      </c>
      <c r="Q367" s="23">
        <f ca="1">IFERROR(__xludf.DUMMYFUNCTION("""COMPUTED_VALUE"""),455)</f>
        <v>455</v>
      </c>
      <c r="R367" s="23">
        <f ca="1">IFERROR(__xludf.DUMMYFUNCTION("""COMPUTED_VALUE"""),0)</f>
        <v>0</v>
      </c>
      <c r="S367" s="24" t="str">
        <f ca="1">IFERROR(__xludf.DUMMYFUNCTION("""COMPUTED_VALUE"""),"Inner Focus")</f>
        <v>Inner Focus</v>
      </c>
      <c r="T367" s="24" t="str">
        <f ca="1">IFERROR(__xludf.DUMMYFUNCTION("""COMPUTED_VALUE"""),"Early Bird")</f>
        <v>Early Bird</v>
      </c>
      <c r="U367" s="24" t="str">
        <f ca="1">IFERROR(__xludf.DUMMYFUNCTION("""COMPUTED_VALUE"""),"Sap Sipper")</f>
        <v>Sap Sipper</v>
      </c>
      <c r="V367" s="25"/>
      <c r="W367" s="25"/>
      <c r="X367" s="25"/>
      <c r="Y367" s="25" t="str">
        <f ca="1">IFERROR(__xludf.DUMMYFUNCTION("""COMPUTED_VALUE"""),"Corrin Crossing, Kaptara Island (wild)")</f>
        <v>Corrin Crossing, Kaptara Island (wild)</v>
      </c>
    </row>
    <row r="368" spans="1:25" x14ac:dyDescent="0.25">
      <c r="A368" s="15" t="str">
        <f ca="1">IFERROR(__xludf.DUMMYFUNCTION("""COMPUTED_VALUE"""),"Farigiraf")</f>
        <v>Farigiraf</v>
      </c>
      <c r="B368" s="16">
        <f ca="1">IFERROR(__xludf.DUMMYFUNCTION("""COMPUTED_VALUE"""),367)</f>
        <v>367</v>
      </c>
      <c r="C368" s="3" t="str">
        <f ca="1">IFERROR(__xludf.DUMMYFUNCTION("""COMPUTED_VALUE"""),"Normal")</f>
        <v>Normal</v>
      </c>
      <c r="D368" s="3" t="str">
        <f ca="1">IFERROR(__xludf.DUMMYFUNCTION("""COMPUTED_VALUE"""),"Psychic")</f>
        <v>Psychic</v>
      </c>
      <c r="E368" s="17">
        <f ca="1">IFERROR(__xludf.DUMMYFUNCTION("""COMPUTED_VALUE"""),120)</f>
        <v>120</v>
      </c>
      <c r="F368" s="17">
        <f ca="1">IFERROR(__xludf.DUMMYFUNCTION("""COMPUTED_VALUE"""),0)</f>
        <v>0</v>
      </c>
      <c r="G368" s="18">
        <f ca="1">IFERROR(__xludf.DUMMYFUNCTION("""COMPUTED_VALUE"""),90)</f>
        <v>90</v>
      </c>
      <c r="H368" s="18">
        <f ca="1">IFERROR(__xludf.DUMMYFUNCTION("""COMPUTED_VALUE"""),0)</f>
        <v>0</v>
      </c>
      <c r="I368" s="19">
        <f ca="1">IFERROR(__xludf.DUMMYFUNCTION("""COMPUTED_VALUE"""),70)</f>
        <v>70</v>
      </c>
      <c r="J368" s="19">
        <f ca="1">IFERROR(__xludf.DUMMYFUNCTION("""COMPUTED_VALUE"""),0)</f>
        <v>0</v>
      </c>
      <c r="K368" s="20">
        <f ca="1">IFERROR(__xludf.DUMMYFUNCTION("""COMPUTED_VALUE"""),110)</f>
        <v>110</v>
      </c>
      <c r="L368" s="20">
        <f ca="1">IFERROR(__xludf.DUMMYFUNCTION("""COMPUTED_VALUE"""),0)</f>
        <v>0</v>
      </c>
      <c r="M368" s="21">
        <f ca="1">IFERROR(__xludf.DUMMYFUNCTION("""COMPUTED_VALUE"""),70)</f>
        <v>70</v>
      </c>
      <c r="N368" s="21">
        <f ca="1">IFERROR(__xludf.DUMMYFUNCTION("""COMPUTED_VALUE"""),0)</f>
        <v>0</v>
      </c>
      <c r="O368" s="22">
        <f ca="1">IFERROR(__xludf.DUMMYFUNCTION("""COMPUTED_VALUE"""),60)</f>
        <v>60</v>
      </c>
      <c r="P368" s="22">
        <f ca="1">IFERROR(__xludf.DUMMYFUNCTION("""COMPUTED_VALUE"""),0)</f>
        <v>0</v>
      </c>
      <c r="Q368" s="23">
        <f ca="1">IFERROR(__xludf.DUMMYFUNCTION("""COMPUTED_VALUE"""),520)</f>
        <v>520</v>
      </c>
      <c r="R368" s="23">
        <f ca="1">IFERROR(__xludf.DUMMYFUNCTION("""COMPUTED_VALUE"""),0)</f>
        <v>0</v>
      </c>
      <c r="S368" s="24" t="str">
        <f ca="1">IFERROR(__xludf.DUMMYFUNCTION("""COMPUTED_VALUE"""),"Cud Chew")</f>
        <v>Cud Chew</v>
      </c>
      <c r="T368" s="24" t="str">
        <f ca="1">IFERROR(__xludf.DUMMYFUNCTION("""COMPUTED_VALUE"""),"Armor Tail")</f>
        <v>Armor Tail</v>
      </c>
      <c r="U368" s="24" t="str">
        <f ca="1">IFERROR(__xludf.DUMMYFUNCTION("""COMPUTED_VALUE"""),"Sap Sipper")</f>
        <v>Sap Sipper</v>
      </c>
      <c r="V368" s="25" t="str">
        <f ca="1">IFERROR(__xludf.DUMMYFUNCTION("""COMPUTED_VALUE"""),"Lv. knows Twin Beam")</f>
        <v>Lv. knows Twin Beam</v>
      </c>
      <c r="W368" s="25"/>
      <c r="X368" s="25"/>
      <c r="Y368" s="25" t="str">
        <f ca="1">IFERROR(__xludf.DUMMYFUNCTION("""COMPUTED_VALUE"""),"Corrin Crossing (wild)")</f>
        <v>Corrin Crossing (wild)</v>
      </c>
    </row>
    <row r="369" spans="1:25" x14ac:dyDescent="0.25">
      <c r="A369" s="15" t="str">
        <f ca="1">IFERROR(__xludf.DUMMYFUNCTION("""COMPUTED_VALUE"""),"Bellsprout")</f>
        <v>Bellsprout</v>
      </c>
      <c r="B369" s="16">
        <f ca="1">IFERROR(__xludf.DUMMYFUNCTION("""COMPUTED_VALUE"""),368)</f>
        <v>368</v>
      </c>
      <c r="C369" s="3" t="str">
        <f ca="1">IFERROR(__xludf.DUMMYFUNCTION("""COMPUTED_VALUE"""),"Grass")</f>
        <v>Grass</v>
      </c>
      <c r="D369" s="3" t="str">
        <f ca="1">IFERROR(__xludf.DUMMYFUNCTION("""COMPUTED_VALUE"""),"Poison")</f>
        <v>Poison</v>
      </c>
      <c r="E369" s="17">
        <f ca="1">IFERROR(__xludf.DUMMYFUNCTION("""COMPUTED_VALUE"""),50)</f>
        <v>50</v>
      </c>
      <c r="F369" s="17">
        <f ca="1">IFERROR(__xludf.DUMMYFUNCTION("""COMPUTED_VALUE"""),0)</f>
        <v>0</v>
      </c>
      <c r="G369" s="18">
        <f ca="1">IFERROR(__xludf.DUMMYFUNCTION("""COMPUTED_VALUE"""),75)</f>
        <v>75</v>
      </c>
      <c r="H369" s="18">
        <f ca="1">IFERROR(__xludf.DUMMYFUNCTION("""COMPUTED_VALUE"""),0)</f>
        <v>0</v>
      </c>
      <c r="I369" s="19">
        <f ca="1">IFERROR(__xludf.DUMMYFUNCTION("""COMPUTED_VALUE"""),35)</f>
        <v>35</v>
      </c>
      <c r="J369" s="19">
        <f ca="1">IFERROR(__xludf.DUMMYFUNCTION("""COMPUTED_VALUE"""),0)</f>
        <v>0</v>
      </c>
      <c r="K369" s="20">
        <f ca="1">IFERROR(__xludf.DUMMYFUNCTION("""COMPUTED_VALUE"""),70)</f>
        <v>70</v>
      </c>
      <c r="L369" s="20">
        <f ca="1">IFERROR(__xludf.DUMMYFUNCTION("""COMPUTED_VALUE"""),0)</f>
        <v>0</v>
      </c>
      <c r="M369" s="21">
        <f ca="1">IFERROR(__xludf.DUMMYFUNCTION("""COMPUTED_VALUE"""),30)</f>
        <v>30</v>
      </c>
      <c r="N369" s="21">
        <f ca="1">IFERROR(__xludf.DUMMYFUNCTION("""COMPUTED_VALUE"""),0)</f>
        <v>0</v>
      </c>
      <c r="O369" s="22">
        <f ca="1">IFERROR(__xludf.DUMMYFUNCTION("""COMPUTED_VALUE"""),40)</f>
        <v>40</v>
      </c>
      <c r="P369" s="22">
        <f ca="1">IFERROR(__xludf.DUMMYFUNCTION("""COMPUTED_VALUE"""),0)</f>
        <v>0</v>
      </c>
      <c r="Q369" s="23">
        <f ca="1">IFERROR(__xludf.DUMMYFUNCTION("""COMPUTED_VALUE"""),300)</f>
        <v>300</v>
      </c>
      <c r="R369" s="23">
        <f ca="1">IFERROR(__xludf.DUMMYFUNCTION("""COMPUTED_VALUE"""),0)</f>
        <v>0</v>
      </c>
      <c r="S369" s="24" t="str">
        <f ca="1">IFERROR(__xludf.DUMMYFUNCTION("""COMPUTED_VALUE"""),"Chlorophyll")</f>
        <v>Chlorophyll</v>
      </c>
      <c r="T369" s="24" t="str">
        <f ca="1">IFERROR(__xludf.DUMMYFUNCTION("""COMPUTED_VALUE"""),"Adaptability")</f>
        <v>Adaptability</v>
      </c>
      <c r="U369" s="24" t="str">
        <f ca="1">IFERROR(__xludf.DUMMYFUNCTION("""COMPUTED_VALUE"""),"Gluttony")</f>
        <v>Gluttony</v>
      </c>
      <c r="V369" s="25"/>
      <c r="W369" s="25"/>
      <c r="X369" s="25"/>
      <c r="Y369" s="25"/>
    </row>
    <row r="370" spans="1:25" x14ac:dyDescent="0.25">
      <c r="A370" s="15" t="str">
        <f ca="1">IFERROR(__xludf.DUMMYFUNCTION("""COMPUTED_VALUE"""),"Weepinbell")</f>
        <v>Weepinbell</v>
      </c>
      <c r="B370" s="16">
        <f ca="1">IFERROR(__xludf.DUMMYFUNCTION("""COMPUTED_VALUE"""),369)</f>
        <v>369</v>
      </c>
      <c r="C370" s="3" t="str">
        <f ca="1">IFERROR(__xludf.DUMMYFUNCTION("""COMPUTED_VALUE"""),"Grass")</f>
        <v>Grass</v>
      </c>
      <c r="D370" s="3" t="str">
        <f ca="1">IFERROR(__xludf.DUMMYFUNCTION("""COMPUTED_VALUE"""),"Poison")</f>
        <v>Poison</v>
      </c>
      <c r="E370" s="17">
        <f ca="1">IFERROR(__xludf.DUMMYFUNCTION("""COMPUTED_VALUE"""),65)</f>
        <v>65</v>
      </c>
      <c r="F370" s="17">
        <f ca="1">IFERROR(__xludf.DUMMYFUNCTION("""COMPUTED_VALUE"""),0)</f>
        <v>0</v>
      </c>
      <c r="G370" s="18">
        <f ca="1">IFERROR(__xludf.DUMMYFUNCTION("""COMPUTED_VALUE"""),90)</f>
        <v>90</v>
      </c>
      <c r="H370" s="18">
        <f ca="1">IFERROR(__xludf.DUMMYFUNCTION("""COMPUTED_VALUE"""),0)</f>
        <v>0</v>
      </c>
      <c r="I370" s="19">
        <f ca="1">IFERROR(__xludf.DUMMYFUNCTION("""COMPUTED_VALUE"""),50)</f>
        <v>50</v>
      </c>
      <c r="J370" s="19">
        <f ca="1">IFERROR(__xludf.DUMMYFUNCTION("""COMPUTED_VALUE"""),0)</f>
        <v>0</v>
      </c>
      <c r="K370" s="20">
        <f ca="1">IFERROR(__xludf.DUMMYFUNCTION("""COMPUTED_VALUE"""),85)</f>
        <v>85</v>
      </c>
      <c r="L370" s="20">
        <f ca="1">IFERROR(__xludf.DUMMYFUNCTION("""COMPUTED_VALUE"""),0)</f>
        <v>0</v>
      </c>
      <c r="M370" s="21">
        <f ca="1">IFERROR(__xludf.DUMMYFUNCTION("""COMPUTED_VALUE"""),45)</f>
        <v>45</v>
      </c>
      <c r="N370" s="21">
        <f ca="1">IFERROR(__xludf.DUMMYFUNCTION("""COMPUTED_VALUE"""),0)</f>
        <v>0</v>
      </c>
      <c r="O370" s="22">
        <f ca="1">IFERROR(__xludf.DUMMYFUNCTION("""COMPUTED_VALUE"""),55)</f>
        <v>55</v>
      </c>
      <c r="P370" s="22">
        <f ca="1">IFERROR(__xludf.DUMMYFUNCTION("""COMPUTED_VALUE"""),0)</f>
        <v>0</v>
      </c>
      <c r="Q370" s="23">
        <f ca="1">IFERROR(__xludf.DUMMYFUNCTION("""COMPUTED_VALUE"""),390)</f>
        <v>390</v>
      </c>
      <c r="R370" s="23">
        <f ca="1">IFERROR(__xludf.DUMMYFUNCTION("""COMPUTED_VALUE"""),0)</f>
        <v>0</v>
      </c>
      <c r="S370" s="24" t="str">
        <f ca="1">IFERROR(__xludf.DUMMYFUNCTION("""COMPUTED_VALUE"""),"Chlorophyll")</f>
        <v>Chlorophyll</v>
      </c>
      <c r="T370" s="24" t="str">
        <f ca="1">IFERROR(__xludf.DUMMYFUNCTION("""COMPUTED_VALUE"""),"Adaptability")</f>
        <v>Adaptability</v>
      </c>
      <c r="U370" s="24" t="str">
        <f ca="1">IFERROR(__xludf.DUMMYFUNCTION("""COMPUTED_VALUE"""),"Gluttony")</f>
        <v>Gluttony</v>
      </c>
      <c r="V370" s="25" t="str">
        <f ca="1">IFERROR(__xludf.DUMMYFUNCTION("""COMPUTED_VALUE"""),"Lv. 21")</f>
        <v>Lv. 21</v>
      </c>
      <c r="W370" s="25"/>
      <c r="X370" s="25"/>
      <c r="Y370" s="25"/>
    </row>
    <row r="371" spans="1:25" x14ac:dyDescent="0.25">
      <c r="A371" s="15" t="str">
        <f ca="1">IFERROR(__xludf.DUMMYFUNCTION("""COMPUTED_VALUE"""),"Victreebel")</f>
        <v>Victreebel</v>
      </c>
      <c r="B371" s="16">
        <f ca="1">IFERROR(__xludf.DUMMYFUNCTION("""COMPUTED_VALUE"""),370)</f>
        <v>370</v>
      </c>
      <c r="C371" s="3" t="str">
        <f ca="1">IFERROR(__xludf.DUMMYFUNCTION("""COMPUTED_VALUE"""),"Grass")</f>
        <v>Grass</v>
      </c>
      <c r="D371" s="3" t="str">
        <f ca="1">IFERROR(__xludf.DUMMYFUNCTION("""COMPUTED_VALUE"""),"Poison")</f>
        <v>Poison</v>
      </c>
      <c r="E371" s="17">
        <f ca="1">IFERROR(__xludf.DUMMYFUNCTION("""COMPUTED_VALUE"""),80)</f>
        <v>80</v>
      </c>
      <c r="F371" s="17">
        <f ca="1">IFERROR(__xludf.DUMMYFUNCTION("""COMPUTED_VALUE"""),0)</f>
        <v>0</v>
      </c>
      <c r="G371" s="18">
        <f ca="1">IFERROR(__xludf.DUMMYFUNCTION("""COMPUTED_VALUE"""),105)</f>
        <v>105</v>
      </c>
      <c r="H371" s="18">
        <f ca="1">IFERROR(__xludf.DUMMYFUNCTION("""COMPUTED_VALUE"""),0)</f>
        <v>0</v>
      </c>
      <c r="I371" s="19">
        <f ca="1">IFERROR(__xludf.DUMMYFUNCTION("""COMPUTED_VALUE"""),65)</f>
        <v>65</v>
      </c>
      <c r="J371" s="19">
        <f ca="1">IFERROR(__xludf.DUMMYFUNCTION("""COMPUTED_VALUE"""),0)</f>
        <v>0</v>
      </c>
      <c r="K371" s="20">
        <f ca="1">IFERROR(__xludf.DUMMYFUNCTION("""COMPUTED_VALUE"""),100)</f>
        <v>100</v>
      </c>
      <c r="L371" s="20">
        <f ca="1">IFERROR(__xludf.DUMMYFUNCTION("""COMPUTED_VALUE"""),0)</f>
        <v>0</v>
      </c>
      <c r="M371" s="21">
        <f ca="1">IFERROR(__xludf.DUMMYFUNCTION("""COMPUTED_VALUE"""),70)</f>
        <v>70</v>
      </c>
      <c r="N371" s="21">
        <f ca="1">IFERROR(__xludf.DUMMYFUNCTION("""COMPUTED_VALUE"""),0)</f>
        <v>0</v>
      </c>
      <c r="O371" s="22">
        <f ca="1">IFERROR(__xludf.DUMMYFUNCTION("""COMPUTED_VALUE"""),70)</f>
        <v>70</v>
      </c>
      <c r="P371" s="22">
        <f ca="1">IFERROR(__xludf.DUMMYFUNCTION("""COMPUTED_VALUE"""),0)</f>
        <v>0</v>
      </c>
      <c r="Q371" s="23">
        <f ca="1">IFERROR(__xludf.DUMMYFUNCTION("""COMPUTED_VALUE"""),490)</f>
        <v>490</v>
      </c>
      <c r="R371" s="23">
        <f ca="1">IFERROR(__xludf.DUMMYFUNCTION("""COMPUTED_VALUE"""),0)</f>
        <v>0</v>
      </c>
      <c r="S371" s="24" t="str">
        <f ca="1">IFERROR(__xludf.DUMMYFUNCTION("""COMPUTED_VALUE"""),"Chlorophyll")</f>
        <v>Chlorophyll</v>
      </c>
      <c r="T371" s="24" t="str">
        <f ca="1">IFERROR(__xludf.DUMMYFUNCTION("""COMPUTED_VALUE"""),"Adaptability")</f>
        <v>Adaptability</v>
      </c>
      <c r="U371" s="24" t="str">
        <f ca="1">IFERROR(__xludf.DUMMYFUNCTION("""COMPUTED_VALUE"""),"Gluttony")</f>
        <v>Gluttony</v>
      </c>
      <c r="V371" s="25" t="str">
        <f ca="1">IFERROR(__xludf.DUMMYFUNCTION("""COMPUTED_VALUE"""),"Leaf Stone")</f>
        <v>Leaf Stone</v>
      </c>
      <c r="W371" s="25"/>
      <c r="X371" s="25"/>
      <c r="Y371" s="25"/>
    </row>
    <row r="372" spans="1:25" x14ac:dyDescent="0.25">
      <c r="A372" s="15" t="str">
        <f ca="1">IFERROR(__xludf.DUMMYFUNCTION("""COMPUTED_VALUE"""),"Magnemite")</f>
        <v>Magnemite</v>
      </c>
      <c r="B372" s="16">
        <f ca="1">IFERROR(__xludf.DUMMYFUNCTION("""COMPUTED_VALUE"""),371)</f>
        <v>371</v>
      </c>
      <c r="C372" s="3" t="str">
        <f ca="1">IFERROR(__xludf.DUMMYFUNCTION("""COMPUTED_VALUE"""),"Electric")</f>
        <v>Electric</v>
      </c>
      <c r="D372" s="3" t="str">
        <f ca="1">IFERROR(__xludf.DUMMYFUNCTION("""COMPUTED_VALUE"""),"Steel")</f>
        <v>Steel</v>
      </c>
      <c r="E372" s="17">
        <f ca="1">IFERROR(__xludf.DUMMYFUNCTION("""COMPUTED_VALUE"""),25)</f>
        <v>25</v>
      </c>
      <c r="F372" s="17">
        <f ca="1">IFERROR(__xludf.DUMMYFUNCTION("""COMPUTED_VALUE"""),0)</f>
        <v>0</v>
      </c>
      <c r="G372" s="18">
        <f ca="1">IFERROR(__xludf.DUMMYFUNCTION("""COMPUTED_VALUE"""),35)</f>
        <v>35</v>
      </c>
      <c r="H372" s="18">
        <f ca="1">IFERROR(__xludf.DUMMYFUNCTION("""COMPUTED_VALUE"""),0)</f>
        <v>0</v>
      </c>
      <c r="I372" s="19">
        <f ca="1">IFERROR(__xludf.DUMMYFUNCTION("""COMPUTED_VALUE"""),70)</f>
        <v>70</v>
      </c>
      <c r="J372" s="19">
        <f ca="1">IFERROR(__xludf.DUMMYFUNCTION("""COMPUTED_VALUE"""),0)</f>
        <v>0</v>
      </c>
      <c r="K372" s="20">
        <f ca="1">IFERROR(__xludf.DUMMYFUNCTION("""COMPUTED_VALUE"""),95)</f>
        <v>95</v>
      </c>
      <c r="L372" s="20">
        <f ca="1">IFERROR(__xludf.DUMMYFUNCTION("""COMPUTED_VALUE"""),0)</f>
        <v>0</v>
      </c>
      <c r="M372" s="21">
        <f ca="1">IFERROR(__xludf.DUMMYFUNCTION("""COMPUTED_VALUE"""),55)</f>
        <v>55</v>
      </c>
      <c r="N372" s="21">
        <f ca="1">IFERROR(__xludf.DUMMYFUNCTION("""COMPUTED_VALUE"""),0)</f>
        <v>0</v>
      </c>
      <c r="O372" s="22">
        <f ca="1">IFERROR(__xludf.DUMMYFUNCTION("""COMPUTED_VALUE"""),45)</f>
        <v>45</v>
      </c>
      <c r="P372" s="22">
        <f ca="1">IFERROR(__xludf.DUMMYFUNCTION("""COMPUTED_VALUE"""),0)</f>
        <v>0</v>
      </c>
      <c r="Q372" s="23">
        <f ca="1">IFERROR(__xludf.DUMMYFUNCTION("""COMPUTED_VALUE"""),325)</f>
        <v>325</v>
      </c>
      <c r="R372" s="23">
        <f ca="1">IFERROR(__xludf.DUMMYFUNCTION("""COMPUTED_VALUE"""),0)</f>
        <v>0</v>
      </c>
      <c r="S372" s="24" t="str">
        <f ca="1">IFERROR(__xludf.DUMMYFUNCTION("""COMPUTED_VALUE"""),"Magnet Pull")</f>
        <v>Magnet Pull</v>
      </c>
      <c r="T372" s="24" t="str">
        <f ca="1">IFERROR(__xludf.DUMMYFUNCTION("""COMPUTED_VALUE"""),"Sturdy")</f>
        <v>Sturdy</v>
      </c>
      <c r="U372" s="24" t="str">
        <f ca="1">IFERROR(__xludf.DUMMYFUNCTION("""COMPUTED_VALUE"""),"Analytic")</f>
        <v>Analytic</v>
      </c>
      <c r="V372" s="25"/>
      <c r="W372" s="25"/>
      <c r="X372" s="25" t="str">
        <f ca="1">IFERROR(__xludf.DUMMYFUNCTION("""COMPUTED_VALUE"""),"Metal Coat")</f>
        <v>Metal Coat</v>
      </c>
      <c r="Y372" s="25" t="str">
        <f ca="1">IFERROR(__xludf.DUMMYFUNCTION("""COMPUTED_VALUE"""),"Corrin Crossing (wild)")</f>
        <v>Corrin Crossing (wild)</v>
      </c>
    </row>
    <row r="373" spans="1:25" x14ac:dyDescent="0.25">
      <c r="A373" s="15" t="str">
        <f ca="1">IFERROR(__xludf.DUMMYFUNCTION("""COMPUTED_VALUE"""),"Magneton")</f>
        <v>Magneton</v>
      </c>
      <c r="B373" s="16">
        <f ca="1">IFERROR(__xludf.DUMMYFUNCTION("""COMPUTED_VALUE"""),372)</f>
        <v>372</v>
      </c>
      <c r="C373" s="3" t="str">
        <f ca="1">IFERROR(__xludf.DUMMYFUNCTION("""COMPUTED_VALUE"""),"Electric")</f>
        <v>Electric</v>
      </c>
      <c r="D373" s="3" t="str">
        <f ca="1">IFERROR(__xludf.DUMMYFUNCTION("""COMPUTED_VALUE"""),"Steel")</f>
        <v>Steel</v>
      </c>
      <c r="E373" s="17">
        <f ca="1">IFERROR(__xludf.DUMMYFUNCTION("""COMPUTED_VALUE"""),50)</f>
        <v>50</v>
      </c>
      <c r="F373" s="17">
        <f ca="1">IFERROR(__xludf.DUMMYFUNCTION("""COMPUTED_VALUE"""),0)</f>
        <v>0</v>
      </c>
      <c r="G373" s="18">
        <f ca="1">IFERROR(__xludf.DUMMYFUNCTION("""COMPUTED_VALUE"""),60)</f>
        <v>60</v>
      </c>
      <c r="H373" s="18">
        <f ca="1">IFERROR(__xludf.DUMMYFUNCTION("""COMPUTED_VALUE"""),0)</f>
        <v>0</v>
      </c>
      <c r="I373" s="19">
        <f ca="1">IFERROR(__xludf.DUMMYFUNCTION("""COMPUTED_VALUE"""),95)</f>
        <v>95</v>
      </c>
      <c r="J373" s="19">
        <f ca="1">IFERROR(__xludf.DUMMYFUNCTION("""COMPUTED_VALUE"""),0)</f>
        <v>0</v>
      </c>
      <c r="K373" s="20">
        <f ca="1">IFERROR(__xludf.DUMMYFUNCTION("""COMPUTED_VALUE"""),120)</f>
        <v>120</v>
      </c>
      <c r="L373" s="20">
        <f ca="1">IFERROR(__xludf.DUMMYFUNCTION("""COMPUTED_VALUE"""),0)</f>
        <v>0</v>
      </c>
      <c r="M373" s="21">
        <f ca="1">IFERROR(__xludf.DUMMYFUNCTION("""COMPUTED_VALUE"""),70)</f>
        <v>70</v>
      </c>
      <c r="N373" s="21">
        <f ca="1">IFERROR(__xludf.DUMMYFUNCTION("""COMPUTED_VALUE"""),0)</f>
        <v>0</v>
      </c>
      <c r="O373" s="22">
        <f ca="1">IFERROR(__xludf.DUMMYFUNCTION("""COMPUTED_VALUE"""),70)</f>
        <v>70</v>
      </c>
      <c r="P373" s="22">
        <f ca="1">IFERROR(__xludf.DUMMYFUNCTION("""COMPUTED_VALUE"""),0)</f>
        <v>0</v>
      </c>
      <c r="Q373" s="23">
        <f ca="1">IFERROR(__xludf.DUMMYFUNCTION("""COMPUTED_VALUE"""),465)</f>
        <v>465</v>
      </c>
      <c r="R373" s="23">
        <f ca="1">IFERROR(__xludf.DUMMYFUNCTION("""COMPUTED_VALUE"""),0)</f>
        <v>0</v>
      </c>
      <c r="S373" s="24" t="str">
        <f ca="1">IFERROR(__xludf.DUMMYFUNCTION("""COMPUTED_VALUE"""),"Magnet Pull")</f>
        <v>Magnet Pull</v>
      </c>
      <c r="T373" s="24" t="str">
        <f ca="1">IFERROR(__xludf.DUMMYFUNCTION("""COMPUTED_VALUE"""),"Sturdy")</f>
        <v>Sturdy</v>
      </c>
      <c r="U373" s="24" t="str">
        <f ca="1">IFERROR(__xludf.DUMMYFUNCTION("""COMPUTED_VALUE"""),"Analytic")</f>
        <v>Analytic</v>
      </c>
      <c r="V373" s="25" t="str">
        <f ca="1">IFERROR(__xludf.DUMMYFUNCTION("""COMPUTED_VALUE"""),"Lv. 30")</f>
        <v>Lv. 30</v>
      </c>
      <c r="W373" s="25"/>
      <c r="X373" s="25" t="str">
        <f ca="1">IFERROR(__xludf.DUMMYFUNCTION("""COMPUTED_VALUE"""),"Metal Coat")</f>
        <v>Metal Coat</v>
      </c>
      <c r="Y373" s="25" t="str">
        <f ca="1">IFERROR(__xludf.DUMMYFUNCTION("""COMPUTED_VALUE"""),"Magnemite (evolve)")</f>
        <v>Magnemite (evolve)</v>
      </c>
    </row>
    <row r="374" spans="1:25" x14ac:dyDescent="0.25">
      <c r="A374" s="15" t="str">
        <f ca="1">IFERROR(__xludf.DUMMYFUNCTION("""COMPUTED_VALUE"""),"Magnezone")</f>
        <v>Magnezone</v>
      </c>
      <c r="B374" s="16">
        <f ca="1">IFERROR(__xludf.DUMMYFUNCTION("""COMPUTED_VALUE"""),373)</f>
        <v>373</v>
      </c>
      <c r="C374" s="3" t="str">
        <f ca="1">IFERROR(__xludf.DUMMYFUNCTION("""COMPUTED_VALUE"""),"Electric")</f>
        <v>Electric</v>
      </c>
      <c r="D374" s="3" t="str">
        <f ca="1">IFERROR(__xludf.DUMMYFUNCTION("""COMPUTED_VALUE"""),"Steel")</f>
        <v>Steel</v>
      </c>
      <c r="E374" s="17">
        <f ca="1">IFERROR(__xludf.DUMMYFUNCTION("""COMPUTED_VALUE"""),70)</f>
        <v>70</v>
      </c>
      <c r="F374" s="17">
        <f ca="1">IFERROR(__xludf.DUMMYFUNCTION("""COMPUTED_VALUE"""),0)</f>
        <v>0</v>
      </c>
      <c r="G374" s="18">
        <f ca="1">IFERROR(__xludf.DUMMYFUNCTION("""COMPUTED_VALUE"""),70)</f>
        <v>70</v>
      </c>
      <c r="H374" s="18">
        <f ca="1">IFERROR(__xludf.DUMMYFUNCTION("""COMPUTED_VALUE"""),0)</f>
        <v>0</v>
      </c>
      <c r="I374" s="19">
        <f ca="1">IFERROR(__xludf.DUMMYFUNCTION("""COMPUTED_VALUE"""),115)</f>
        <v>115</v>
      </c>
      <c r="J374" s="19">
        <f ca="1">IFERROR(__xludf.DUMMYFUNCTION("""COMPUTED_VALUE"""),0)</f>
        <v>0</v>
      </c>
      <c r="K374" s="20">
        <f ca="1">IFERROR(__xludf.DUMMYFUNCTION("""COMPUTED_VALUE"""),130)</f>
        <v>130</v>
      </c>
      <c r="L374" s="20">
        <f ca="1">IFERROR(__xludf.DUMMYFUNCTION("""COMPUTED_VALUE"""),0)</f>
        <v>0</v>
      </c>
      <c r="M374" s="21">
        <f ca="1">IFERROR(__xludf.DUMMYFUNCTION("""COMPUTED_VALUE"""),90)</f>
        <v>90</v>
      </c>
      <c r="N374" s="21">
        <f ca="1">IFERROR(__xludf.DUMMYFUNCTION("""COMPUTED_VALUE"""),0)</f>
        <v>0</v>
      </c>
      <c r="O374" s="22">
        <f ca="1">IFERROR(__xludf.DUMMYFUNCTION("""COMPUTED_VALUE"""),60)</f>
        <v>60</v>
      </c>
      <c r="P374" s="22">
        <f ca="1">IFERROR(__xludf.DUMMYFUNCTION("""COMPUTED_VALUE"""),0)</f>
        <v>0</v>
      </c>
      <c r="Q374" s="23">
        <f ca="1">IFERROR(__xludf.DUMMYFUNCTION("""COMPUTED_VALUE"""),535)</f>
        <v>535</v>
      </c>
      <c r="R374" s="23">
        <f ca="1">IFERROR(__xludf.DUMMYFUNCTION("""COMPUTED_VALUE"""),0)</f>
        <v>0</v>
      </c>
      <c r="S374" s="24" t="str">
        <f ca="1">IFERROR(__xludf.DUMMYFUNCTION("""COMPUTED_VALUE"""),"Magnet Pull")</f>
        <v>Magnet Pull</v>
      </c>
      <c r="T374" s="24" t="str">
        <f ca="1">IFERROR(__xludf.DUMMYFUNCTION("""COMPUTED_VALUE"""),"Sturdy")</f>
        <v>Sturdy</v>
      </c>
      <c r="U374" s="24" t="str">
        <f ca="1">IFERROR(__xludf.DUMMYFUNCTION("""COMPUTED_VALUE"""),"Analytic")</f>
        <v>Analytic</v>
      </c>
      <c r="V374" s="25" t="str">
        <f ca="1">IFERROR(__xludf.DUMMYFUNCTION("""COMPUTED_VALUE"""),"Thunder Stone")</f>
        <v>Thunder Stone</v>
      </c>
      <c r="W374" s="25"/>
      <c r="X374" s="25" t="str">
        <f ca="1">IFERROR(__xludf.DUMMYFUNCTION("""COMPUTED_VALUE"""),"Metal Coat")</f>
        <v>Metal Coat</v>
      </c>
      <c r="Y374" s="25" t="str">
        <f ca="1">IFERROR(__xludf.DUMMYFUNCTION("""COMPUTED_VALUE"""),"Magneton (evolve)")</f>
        <v>Magneton (evolve)</v>
      </c>
    </row>
    <row r="375" spans="1:25" x14ac:dyDescent="0.25">
      <c r="A375" s="15" t="str">
        <f ca="1">IFERROR(__xludf.DUMMYFUNCTION("""COMPUTED_VALUE"""),"Cubchoo")</f>
        <v>Cubchoo</v>
      </c>
      <c r="B375" s="16">
        <f ca="1">IFERROR(__xludf.DUMMYFUNCTION("""COMPUTED_VALUE"""),374)</f>
        <v>374</v>
      </c>
      <c r="C375" s="3" t="str">
        <f ca="1">IFERROR(__xludf.DUMMYFUNCTION("""COMPUTED_VALUE"""),"Ice")</f>
        <v>Ice</v>
      </c>
      <c r="D375" s="3"/>
      <c r="E375" s="17">
        <f ca="1">IFERROR(__xludf.DUMMYFUNCTION("""COMPUTED_VALUE"""),60)</f>
        <v>60</v>
      </c>
      <c r="F375" s="17">
        <f ca="1">IFERROR(__xludf.DUMMYFUNCTION("""COMPUTED_VALUE"""),5)</f>
        <v>5</v>
      </c>
      <c r="G375" s="18">
        <f ca="1">IFERROR(__xludf.DUMMYFUNCTION("""COMPUTED_VALUE"""),70)</f>
        <v>70</v>
      </c>
      <c r="H375" s="18">
        <f ca="1">IFERROR(__xludf.DUMMYFUNCTION("""COMPUTED_VALUE"""),0)</f>
        <v>0</v>
      </c>
      <c r="I375" s="19">
        <f ca="1">IFERROR(__xludf.DUMMYFUNCTION("""COMPUTED_VALUE"""),40)</f>
        <v>40</v>
      </c>
      <c r="J375" s="19">
        <f ca="1">IFERROR(__xludf.DUMMYFUNCTION("""COMPUTED_VALUE"""),0)</f>
        <v>0</v>
      </c>
      <c r="K375" s="20">
        <f ca="1">IFERROR(__xludf.DUMMYFUNCTION("""COMPUTED_VALUE"""),60)</f>
        <v>60</v>
      </c>
      <c r="L375" s="20">
        <f ca="1">IFERROR(__xludf.DUMMYFUNCTION("""COMPUTED_VALUE"""),0)</f>
        <v>0</v>
      </c>
      <c r="M375" s="21">
        <f ca="1">IFERROR(__xludf.DUMMYFUNCTION("""COMPUTED_VALUE"""),40)</f>
        <v>40</v>
      </c>
      <c r="N375" s="21">
        <f ca="1">IFERROR(__xludf.DUMMYFUNCTION("""COMPUTED_VALUE"""),0)</f>
        <v>0</v>
      </c>
      <c r="O375" s="22">
        <f ca="1">IFERROR(__xludf.DUMMYFUNCTION("""COMPUTED_VALUE"""),35)</f>
        <v>35</v>
      </c>
      <c r="P375" s="22">
        <f ca="1">IFERROR(__xludf.DUMMYFUNCTION("""COMPUTED_VALUE"""),-5)</f>
        <v>-5</v>
      </c>
      <c r="Q375" s="23">
        <f ca="1">IFERROR(__xludf.DUMMYFUNCTION("""COMPUTED_VALUE"""),305)</f>
        <v>305</v>
      </c>
      <c r="R375" s="23">
        <f ca="1">IFERROR(__xludf.DUMMYFUNCTION("""COMPUTED_VALUE"""),0)</f>
        <v>0</v>
      </c>
      <c r="S375" s="24" t="str">
        <f ca="1">IFERROR(__xludf.DUMMYFUNCTION("""COMPUTED_VALUE"""),"Snow Cloak")</f>
        <v>Snow Cloak</v>
      </c>
      <c r="T375" s="24" t="str">
        <f ca="1">IFERROR(__xludf.DUMMYFUNCTION("""COMPUTED_VALUE"""),"Slush Rush")</f>
        <v>Slush Rush</v>
      </c>
      <c r="U375" s="24" t="str">
        <f ca="1">IFERROR(__xludf.DUMMYFUNCTION("""COMPUTED_VALUE"""),"Fur Coat")</f>
        <v>Fur Coat</v>
      </c>
      <c r="V375" s="25"/>
      <c r="W375" s="25"/>
      <c r="X375" s="25"/>
      <c r="Y375" s="25" t="str">
        <f ca="1">IFERROR(__xludf.DUMMYFUNCTION("""COMPUTED_VALUE"""),"Riverwalk Trail N, Froslass Cavern (wild)")</f>
        <v>Riverwalk Trail N, Froslass Cavern (wild)</v>
      </c>
    </row>
    <row r="376" spans="1:25" x14ac:dyDescent="0.25">
      <c r="A376" s="15" t="str">
        <f ca="1">IFERROR(__xludf.DUMMYFUNCTION("""COMPUTED_VALUE"""),"Beartic")</f>
        <v>Beartic</v>
      </c>
      <c r="B376" s="16">
        <f ca="1">IFERROR(__xludf.DUMMYFUNCTION("""COMPUTED_VALUE"""),375)</f>
        <v>375</v>
      </c>
      <c r="C376" s="3" t="str">
        <f ca="1">IFERROR(__xludf.DUMMYFUNCTION("""COMPUTED_VALUE"""),"Ice")</f>
        <v>Ice</v>
      </c>
      <c r="D376" s="3"/>
      <c r="E376" s="17">
        <f ca="1">IFERROR(__xludf.DUMMYFUNCTION("""COMPUTED_VALUE"""),100)</f>
        <v>100</v>
      </c>
      <c r="F376" s="17">
        <f ca="1">IFERROR(__xludf.DUMMYFUNCTION("""COMPUTED_VALUE"""),5)</f>
        <v>5</v>
      </c>
      <c r="G376" s="18">
        <f ca="1">IFERROR(__xludf.DUMMYFUNCTION("""COMPUTED_VALUE"""),130)</f>
        <v>130</v>
      </c>
      <c r="H376" s="18">
        <f ca="1">IFERROR(__xludf.DUMMYFUNCTION("""COMPUTED_VALUE"""),20)</f>
        <v>20</v>
      </c>
      <c r="I376" s="19">
        <f ca="1">IFERROR(__xludf.DUMMYFUNCTION("""COMPUTED_VALUE"""),80)</f>
        <v>80</v>
      </c>
      <c r="J376" s="19">
        <f ca="1">IFERROR(__xludf.DUMMYFUNCTION("""COMPUTED_VALUE"""),0)</f>
        <v>0</v>
      </c>
      <c r="K376" s="20">
        <f ca="1">IFERROR(__xludf.DUMMYFUNCTION("""COMPUTED_VALUE"""),70)</f>
        <v>70</v>
      </c>
      <c r="L376" s="20">
        <f ca="1">IFERROR(__xludf.DUMMYFUNCTION("""COMPUTED_VALUE"""),0)</f>
        <v>0</v>
      </c>
      <c r="M376" s="21">
        <f ca="1">IFERROR(__xludf.DUMMYFUNCTION("""COMPUTED_VALUE"""),85)</f>
        <v>85</v>
      </c>
      <c r="N376" s="21">
        <f ca="1">IFERROR(__xludf.DUMMYFUNCTION("""COMPUTED_VALUE"""),5)</f>
        <v>5</v>
      </c>
      <c r="O376" s="22">
        <f ca="1">IFERROR(__xludf.DUMMYFUNCTION("""COMPUTED_VALUE"""),50)</f>
        <v>50</v>
      </c>
      <c r="P376" s="22">
        <f ca="1">IFERROR(__xludf.DUMMYFUNCTION("""COMPUTED_VALUE"""),0)</f>
        <v>0</v>
      </c>
      <c r="Q376" s="23">
        <f ca="1">IFERROR(__xludf.DUMMYFUNCTION("""COMPUTED_VALUE"""),515)</f>
        <v>515</v>
      </c>
      <c r="R376" s="23">
        <f ca="1">IFERROR(__xludf.DUMMYFUNCTION("""COMPUTED_VALUE"""),30)</f>
        <v>30</v>
      </c>
      <c r="S376" s="24" t="str">
        <f ca="1">IFERROR(__xludf.DUMMYFUNCTION("""COMPUTED_VALUE"""),"Snow Cloak")</f>
        <v>Snow Cloak</v>
      </c>
      <c r="T376" s="24" t="str">
        <f ca="1">IFERROR(__xludf.DUMMYFUNCTION("""COMPUTED_VALUE"""),"Slush Rush")</f>
        <v>Slush Rush</v>
      </c>
      <c r="U376" s="24" t="str">
        <f ca="1">IFERROR(__xludf.DUMMYFUNCTION("""COMPUTED_VALUE"""),"Fur Coat")</f>
        <v>Fur Coat</v>
      </c>
      <c r="V376" s="25" t="str">
        <f ca="1">IFERROR(__xludf.DUMMYFUNCTION("""COMPUTED_VALUE"""),"Lv. 37")</f>
        <v>Lv. 37</v>
      </c>
      <c r="W376" s="25"/>
      <c r="X376" s="25"/>
      <c r="Y376" s="25" t="str">
        <f ca="1">IFERROR(__xludf.DUMMYFUNCTION("""COMPUTED_VALUE"""),"Cubchoo (evolve)")</f>
        <v>Cubchoo (evolve)</v>
      </c>
    </row>
    <row r="377" spans="1:25" x14ac:dyDescent="0.25">
      <c r="A377" s="15" t="str">
        <f ca="1">IFERROR(__xludf.DUMMYFUNCTION("""COMPUTED_VALUE"""),"Growlithe")</f>
        <v>Growlithe</v>
      </c>
      <c r="B377" s="16">
        <f ca="1">IFERROR(__xludf.DUMMYFUNCTION("""COMPUTED_VALUE"""),376)</f>
        <v>376</v>
      </c>
      <c r="C377" s="3" t="str">
        <f ca="1">IFERROR(__xludf.DUMMYFUNCTION("""COMPUTED_VALUE"""),"Fire")</f>
        <v>Fire</v>
      </c>
      <c r="D377" s="3"/>
      <c r="E377" s="17">
        <f ca="1">IFERROR(__xludf.DUMMYFUNCTION("""COMPUTED_VALUE"""),55)</f>
        <v>55</v>
      </c>
      <c r="F377" s="17">
        <f ca="1">IFERROR(__xludf.DUMMYFUNCTION("""COMPUTED_VALUE"""),0)</f>
        <v>0</v>
      </c>
      <c r="G377" s="18">
        <f ca="1">IFERROR(__xludf.DUMMYFUNCTION("""COMPUTED_VALUE"""),70)</f>
        <v>70</v>
      </c>
      <c r="H377" s="18">
        <f ca="1">IFERROR(__xludf.DUMMYFUNCTION("""COMPUTED_VALUE"""),0)</f>
        <v>0</v>
      </c>
      <c r="I377" s="19">
        <f ca="1">IFERROR(__xludf.DUMMYFUNCTION("""COMPUTED_VALUE"""),45)</f>
        <v>45</v>
      </c>
      <c r="J377" s="19">
        <f ca="1">IFERROR(__xludf.DUMMYFUNCTION("""COMPUTED_VALUE"""),0)</f>
        <v>0</v>
      </c>
      <c r="K377" s="20">
        <f ca="1">IFERROR(__xludf.DUMMYFUNCTION("""COMPUTED_VALUE"""),70)</f>
        <v>70</v>
      </c>
      <c r="L377" s="20">
        <f ca="1">IFERROR(__xludf.DUMMYFUNCTION("""COMPUTED_VALUE"""),0)</f>
        <v>0</v>
      </c>
      <c r="M377" s="21">
        <f ca="1">IFERROR(__xludf.DUMMYFUNCTION("""COMPUTED_VALUE"""),50)</f>
        <v>50</v>
      </c>
      <c r="N377" s="21">
        <f ca="1">IFERROR(__xludf.DUMMYFUNCTION("""COMPUTED_VALUE"""),0)</f>
        <v>0</v>
      </c>
      <c r="O377" s="22">
        <f ca="1">IFERROR(__xludf.DUMMYFUNCTION("""COMPUTED_VALUE"""),60)</f>
        <v>60</v>
      </c>
      <c r="P377" s="22">
        <f ca="1">IFERROR(__xludf.DUMMYFUNCTION("""COMPUTED_VALUE"""),0)</f>
        <v>0</v>
      </c>
      <c r="Q377" s="23">
        <f ca="1">IFERROR(__xludf.DUMMYFUNCTION("""COMPUTED_VALUE"""),350)</f>
        <v>350</v>
      </c>
      <c r="R377" s="23">
        <f ca="1">IFERROR(__xludf.DUMMYFUNCTION("""COMPUTED_VALUE"""),0)</f>
        <v>0</v>
      </c>
      <c r="S377" s="24" t="str">
        <f ca="1">IFERROR(__xludf.DUMMYFUNCTION("""COMPUTED_VALUE"""),"Intimidate")</f>
        <v>Intimidate</v>
      </c>
      <c r="T377" s="24" t="str">
        <f ca="1">IFERROR(__xludf.DUMMYFUNCTION("""COMPUTED_VALUE"""),"Flash Fire")</f>
        <v>Flash Fire</v>
      </c>
      <c r="U377" s="24" t="str">
        <f ca="1">IFERROR(__xludf.DUMMYFUNCTION("""COMPUTED_VALUE"""),"Fur Coat")</f>
        <v>Fur Coat</v>
      </c>
      <c r="V377" s="25"/>
      <c r="W377" s="25"/>
      <c r="X377" s="25"/>
      <c r="Y377" s="25" t="str">
        <f ca="1">IFERROR(__xludf.DUMMYFUNCTION("""COMPUTED_VALUE"""),"Marmaro Island (wild)")</f>
        <v>Marmaro Island (wild)</v>
      </c>
    </row>
    <row r="378" spans="1:25" x14ac:dyDescent="0.25">
      <c r="A378" s="15" t="str">
        <f ca="1">IFERROR(__xludf.DUMMYFUNCTION("""COMPUTED_VALUE"""),"Arcanine")</f>
        <v>Arcanine</v>
      </c>
      <c r="B378" s="16">
        <f ca="1">IFERROR(__xludf.DUMMYFUNCTION("""COMPUTED_VALUE"""),377)</f>
        <v>377</v>
      </c>
      <c r="C378" s="3" t="str">
        <f ca="1">IFERROR(__xludf.DUMMYFUNCTION("""COMPUTED_VALUE"""),"Fire")</f>
        <v>Fire</v>
      </c>
      <c r="D378" s="3"/>
      <c r="E378" s="17">
        <f ca="1">IFERROR(__xludf.DUMMYFUNCTION("""COMPUTED_VALUE"""),90)</f>
        <v>90</v>
      </c>
      <c r="F378" s="17">
        <f ca="1">IFERROR(__xludf.DUMMYFUNCTION("""COMPUTED_VALUE"""),0)</f>
        <v>0</v>
      </c>
      <c r="G378" s="18">
        <f ca="1">IFERROR(__xludf.DUMMYFUNCTION("""COMPUTED_VALUE"""),110)</f>
        <v>110</v>
      </c>
      <c r="H378" s="18">
        <f ca="1">IFERROR(__xludf.DUMMYFUNCTION("""COMPUTED_VALUE"""),0)</f>
        <v>0</v>
      </c>
      <c r="I378" s="19">
        <f ca="1">IFERROR(__xludf.DUMMYFUNCTION("""COMPUTED_VALUE"""),75)</f>
        <v>75</v>
      </c>
      <c r="J378" s="19">
        <f ca="1">IFERROR(__xludf.DUMMYFUNCTION("""COMPUTED_VALUE"""),-5)</f>
        <v>-5</v>
      </c>
      <c r="K378" s="20">
        <f ca="1">IFERROR(__xludf.DUMMYFUNCTION("""COMPUTED_VALUE"""),100)</f>
        <v>100</v>
      </c>
      <c r="L378" s="20">
        <f ca="1">IFERROR(__xludf.DUMMYFUNCTION("""COMPUTED_VALUE"""),0)</f>
        <v>0</v>
      </c>
      <c r="M378" s="21">
        <f ca="1">IFERROR(__xludf.DUMMYFUNCTION("""COMPUTED_VALUE"""),80)</f>
        <v>80</v>
      </c>
      <c r="N378" s="21">
        <f ca="1">IFERROR(__xludf.DUMMYFUNCTION("""COMPUTED_VALUE"""),0)</f>
        <v>0</v>
      </c>
      <c r="O378" s="22">
        <f ca="1">IFERROR(__xludf.DUMMYFUNCTION("""COMPUTED_VALUE"""),100)</f>
        <v>100</v>
      </c>
      <c r="P378" s="22">
        <f ca="1">IFERROR(__xludf.DUMMYFUNCTION("""COMPUTED_VALUE"""),5)</f>
        <v>5</v>
      </c>
      <c r="Q378" s="23">
        <f ca="1">IFERROR(__xludf.DUMMYFUNCTION("""COMPUTED_VALUE"""),555)</f>
        <v>555</v>
      </c>
      <c r="R378" s="23">
        <f ca="1">IFERROR(__xludf.DUMMYFUNCTION("""COMPUTED_VALUE"""),0)</f>
        <v>0</v>
      </c>
      <c r="S378" s="24" t="str">
        <f ca="1">IFERROR(__xludf.DUMMYFUNCTION("""COMPUTED_VALUE"""),"Intimidate")</f>
        <v>Intimidate</v>
      </c>
      <c r="T378" s="24" t="str">
        <f ca="1">IFERROR(__xludf.DUMMYFUNCTION("""COMPUTED_VALUE"""),"Flash Fire")</f>
        <v>Flash Fire</v>
      </c>
      <c r="U378" s="24" t="str">
        <f ca="1">IFERROR(__xludf.DUMMYFUNCTION("""COMPUTED_VALUE"""),"Fur Coat")</f>
        <v>Fur Coat</v>
      </c>
      <c r="V378" s="25" t="str">
        <f ca="1">IFERROR(__xludf.DUMMYFUNCTION("""COMPUTED_VALUE"""),"Fire Stone")</f>
        <v>Fire Stone</v>
      </c>
      <c r="W378" s="25"/>
      <c r="X378" s="25"/>
      <c r="Y378" s="25" t="str">
        <f ca="1">IFERROR(__xludf.DUMMYFUNCTION("""COMPUTED_VALUE"""),"Growlithe (evolve)")</f>
        <v>Growlithe (evolve)</v>
      </c>
    </row>
    <row r="379" spans="1:25" x14ac:dyDescent="0.25">
      <c r="A379" s="15" t="str">
        <f ca="1">IFERROR(__xludf.DUMMYFUNCTION("""COMPUTED_VALUE"""),"Psyduck")</f>
        <v>Psyduck</v>
      </c>
      <c r="B379" s="16">
        <f ca="1">IFERROR(__xludf.DUMMYFUNCTION("""COMPUTED_VALUE"""),378)</f>
        <v>378</v>
      </c>
      <c r="C379" s="3" t="str">
        <f ca="1">IFERROR(__xludf.DUMMYFUNCTION("""COMPUTED_VALUE"""),"Water")</f>
        <v>Water</v>
      </c>
      <c r="D379" s="3"/>
      <c r="E379" s="17">
        <f ca="1">IFERROR(__xludf.DUMMYFUNCTION("""COMPUTED_VALUE"""),50)</f>
        <v>50</v>
      </c>
      <c r="F379" s="17">
        <f ca="1">IFERROR(__xludf.DUMMYFUNCTION("""COMPUTED_VALUE"""),0)</f>
        <v>0</v>
      </c>
      <c r="G379" s="18">
        <f ca="1">IFERROR(__xludf.DUMMYFUNCTION("""COMPUTED_VALUE"""),52)</f>
        <v>52</v>
      </c>
      <c r="H379" s="18">
        <f ca="1">IFERROR(__xludf.DUMMYFUNCTION("""COMPUTED_VALUE"""),0)</f>
        <v>0</v>
      </c>
      <c r="I379" s="19">
        <f ca="1">IFERROR(__xludf.DUMMYFUNCTION("""COMPUTED_VALUE"""),48)</f>
        <v>48</v>
      </c>
      <c r="J379" s="19">
        <f ca="1">IFERROR(__xludf.DUMMYFUNCTION("""COMPUTED_VALUE"""),0)</f>
        <v>0</v>
      </c>
      <c r="K379" s="20">
        <f ca="1">IFERROR(__xludf.DUMMYFUNCTION("""COMPUTED_VALUE"""),65)</f>
        <v>65</v>
      </c>
      <c r="L379" s="20">
        <f ca="1">IFERROR(__xludf.DUMMYFUNCTION("""COMPUTED_VALUE"""),0)</f>
        <v>0</v>
      </c>
      <c r="M379" s="21">
        <f ca="1">IFERROR(__xludf.DUMMYFUNCTION("""COMPUTED_VALUE"""),50)</f>
        <v>50</v>
      </c>
      <c r="N379" s="21">
        <f ca="1">IFERROR(__xludf.DUMMYFUNCTION("""COMPUTED_VALUE"""),0)</f>
        <v>0</v>
      </c>
      <c r="O379" s="22">
        <f ca="1">IFERROR(__xludf.DUMMYFUNCTION("""COMPUTED_VALUE"""),55)</f>
        <v>55</v>
      </c>
      <c r="P379" s="22">
        <f ca="1">IFERROR(__xludf.DUMMYFUNCTION("""COMPUTED_VALUE"""),0)</f>
        <v>0</v>
      </c>
      <c r="Q379" s="23">
        <f ca="1">IFERROR(__xludf.DUMMYFUNCTION("""COMPUTED_VALUE"""),320)</f>
        <v>320</v>
      </c>
      <c r="R379" s="23">
        <f ca="1">IFERROR(__xludf.DUMMYFUNCTION("""COMPUTED_VALUE"""),0)</f>
        <v>0</v>
      </c>
      <c r="S379" s="24" t="str">
        <f ca="1">IFERROR(__xludf.DUMMYFUNCTION("""COMPUTED_VALUE"""),"Damp")</f>
        <v>Damp</v>
      </c>
      <c r="T379" s="24" t="str">
        <f ca="1">IFERROR(__xludf.DUMMYFUNCTION("""COMPUTED_VALUE"""),"Cloud Nine")</f>
        <v>Cloud Nine</v>
      </c>
      <c r="U379" s="24" t="str">
        <f ca="1">IFERROR(__xludf.DUMMYFUNCTION("""COMPUTED_VALUE"""),"Soundproof")</f>
        <v>Soundproof</v>
      </c>
      <c r="V379" s="25"/>
      <c r="W379" s="25"/>
      <c r="X379" s="25"/>
      <c r="Y379" s="25" t="str">
        <f ca="1">IFERROR(__xludf.DUMMYFUNCTION("""COMPUTED_VALUE"""),"Wanderer`s Woods (surf) Port Pello, Sofos City, Sea of Asteri, Marmaro Island, Myrrini Island, Sea of Vulcai, Fresco Isles, Palati City")</f>
        <v>Wanderer`s Woods (surf) Port Pello, Sofos City, Sea of Asteri, Marmaro Island, Myrrini Island, Sea of Vulcai, Fresco Isles, Palati City</v>
      </c>
    </row>
    <row r="380" spans="1:25" x14ac:dyDescent="0.25">
      <c r="A380" s="15" t="str">
        <f ca="1">IFERROR(__xludf.DUMMYFUNCTION("""COMPUTED_VALUE"""),"Golduck")</f>
        <v>Golduck</v>
      </c>
      <c r="B380" s="16">
        <f ca="1">IFERROR(__xludf.DUMMYFUNCTION("""COMPUTED_VALUE"""),379)</f>
        <v>379</v>
      </c>
      <c r="C380" s="3" t="str">
        <f ca="1">IFERROR(__xludf.DUMMYFUNCTION("""COMPUTED_VALUE"""),"Water")</f>
        <v>Water</v>
      </c>
      <c r="D380" s="3" t="str">
        <f ca="1">IFERROR(__xludf.DUMMYFUNCTION("""COMPUTED_VALUE"""),"Psychic")</f>
        <v>Psychic</v>
      </c>
      <c r="E380" s="17">
        <f ca="1">IFERROR(__xludf.DUMMYFUNCTION("""COMPUTED_VALUE"""),80)</f>
        <v>80</v>
      </c>
      <c r="F380" s="17">
        <f ca="1">IFERROR(__xludf.DUMMYFUNCTION("""COMPUTED_VALUE"""),0)</f>
        <v>0</v>
      </c>
      <c r="G380" s="18">
        <f ca="1">IFERROR(__xludf.DUMMYFUNCTION("""COMPUTED_VALUE"""),77)</f>
        <v>77</v>
      </c>
      <c r="H380" s="18">
        <f ca="1">IFERROR(__xludf.DUMMYFUNCTION("""COMPUTED_VALUE"""),-5)</f>
        <v>-5</v>
      </c>
      <c r="I380" s="19">
        <f ca="1">IFERROR(__xludf.DUMMYFUNCTION("""COMPUTED_VALUE"""),78)</f>
        <v>78</v>
      </c>
      <c r="J380" s="19">
        <f ca="1">IFERROR(__xludf.DUMMYFUNCTION("""COMPUTED_VALUE"""),0)</f>
        <v>0</v>
      </c>
      <c r="K380" s="20">
        <f ca="1">IFERROR(__xludf.DUMMYFUNCTION("""COMPUTED_VALUE"""),100)</f>
        <v>100</v>
      </c>
      <c r="L380" s="20">
        <f ca="1">IFERROR(__xludf.DUMMYFUNCTION("""COMPUTED_VALUE"""),5)</f>
        <v>5</v>
      </c>
      <c r="M380" s="21">
        <f ca="1">IFERROR(__xludf.DUMMYFUNCTION("""COMPUTED_VALUE"""),80)</f>
        <v>80</v>
      </c>
      <c r="N380" s="21">
        <f ca="1">IFERROR(__xludf.DUMMYFUNCTION("""COMPUTED_VALUE"""),0)</f>
        <v>0</v>
      </c>
      <c r="O380" s="22">
        <f ca="1">IFERROR(__xludf.DUMMYFUNCTION("""COMPUTED_VALUE"""),85)</f>
        <v>85</v>
      </c>
      <c r="P380" s="22">
        <f ca="1">IFERROR(__xludf.DUMMYFUNCTION("""COMPUTED_VALUE"""),0)</f>
        <v>0</v>
      </c>
      <c r="Q380" s="23">
        <f ca="1">IFERROR(__xludf.DUMMYFUNCTION("""COMPUTED_VALUE"""),500)</f>
        <v>500</v>
      </c>
      <c r="R380" s="23">
        <f ca="1">IFERROR(__xludf.DUMMYFUNCTION("""COMPUTED_VALUE"""),0)</f>
        <v>0</v>
      </c>
      <c r="S380" s="24" t="str">
        <f ca="1">IFERROR(__xludf.DUMMYFUNCTION("""COMPUTED_VALUE"""),"Damp")</f>
        <v>Damp</v>
      </c>
      <c r="T380" s="24" t="str">
        <f ca="1">IFERROR(__xludf.DUMMYFUNCTION("""COMPUTED_VALUE"""),"Cloud Nine")</f>
        <v>Cloud Nine</v>
      </c>
      <c r="U380" s="24" t="str">
        <f ca="1">IFERROR(__xludf.DUMMYFUNCTION("""COMPUTED_VALUE"""),"Punk Rock (Vocalist)")</f>
        <v>Punk Rock (Vocalist)</v>
      </c>
      <c r="V380" s="25" t="str">
        <f ca="1">IFERROR(__xludf.DUMMYFUNCTION("""COMPUTED_VALUE"""),"Lv. 27")</f>
        <v>Lv. 27</v>
      </c>
      <c r="W380" s="25"/>
      <c r="X380" s="25"/>
      <c r="Y380" s="25" t="str">
        <f ca="1">IFERROR(__xludf.DUMMYFUNCTION("""COMPUTED_VALUE"""),"Corrin Crossing, Kaptara Island (wild)")</f>
        <v>Corrin Crossing, Kaptara Island (wild)</v>
      </c>
    </row>
    <row r="381" spans="1:25" x14ac:dyDescent="0.25">
      <c r="A381" s="15" t="str">
        <f ca="1">IFERROR(__xludf.DUMMYFUNCTION("""COMPUTED_VALUE"""),"Yanma")</f>
        <v>Yanma</v>
      </c>
      <c r="B381" s="16">
        <f ca="1">IFERROR(__xludf.DUMMYFUNCTION("""COMPUTED_VALUE"""),380)</f>
        <v>380</v>
      </c>
      <c r="C381" s="3" t="str">
        <f ca="1">IFERROR(__xludf.DUMMYFUNCTION("""COMPUTED_VALUE"""),"Bug")</f>
        <v>Bug</v>
      </c>
      <c r="D381" s="3" t="str">
        <f ca="1">IFERROR(__xludf.DUMMYFUNCTION("""COMPUTED_VALUE"""),"Flying")</f>
        <v>Flying</v>
      </c>
      <c r="E381" s="17">
        <f ca="1">IFERROR(__xludf.DUMMYFUNCTION("""COMPUTED_VALUE"""),65)</f>
        <v>65</v>
      </c>
      <c r="F381" s="17">
        <f ca="1">IFERROR(__xludf.DUMMYFUNCTION("""COMPUTED_VALUE"""),0)</f>
        <v>0</v>
      </c>
      <c r="G381" s="18">
        <f ca="1">IFERROR(__xludf.DUMMYFUNCTION("""COMPUTED_VALUE"""),65)</f>
        <v>65</v>
      </c>
      <c r="H381" s="18">
        <f ca="1">IFERROR(__xludf.DUMMYFUNCTION("""COMPUTED_VALUE"""),0)</f>
        <v>0</v>
      </c>
      <c r="I381" s="19">
        <f ca="1">IFERROR(__xludf.DUMMYFUNCTION("""COMPUTED_VALUE"""),45)</f>
        <v>45</v>
      </c>
      <c r="J381" s="19">
        <f ca="1">IFERROR(__xludf.DUMMYFUNCTION("""COMPUTED_VALUE"""),0)</f>
        <v>0</v>
      </c>
      <c r="K381" s="20">
        <f ca="1">IFERROR(__xludf.DUMMYFUNCTION("""COMPUTED_VALUE"""),80)</f>
        <v>80</v>
      </c>
      <c r="L381" s="20">
        <f ca="1">IFERROR(__xludf.DUMMYFUNCTION("""COMPUTED_VALUE"""),5)</f>
        <v>5</v>
      </c>
      <c r="M381" s="21">
        <f ca="1">IFERROR(__xludf.DUMMYFUNCTION("""COMPUTED_VALUE"""),45)</f>
        <v>45</v>
      </c>
      <c r="N381" s="21">
        <f ca="1">IFERROR(__xludf.DUMMYFUNCTION("""COMPUTED_VALUE"""),0)</f>
        <v>0</v>
      </c>
      <c r="O381" s="22">
        <f ca="1">IFERROR(__xludf.DUMMYFUNCTION("""COMPUTED_VALUE"""),95)</f>
        <v>95</v>
      </c>
      <c r="P381" s="22">
        <f ca="1">IFERROR(__xludf.DUMMYFUNCTION("""COMPUTED_VALUE"""),0)</f>
        <v>0</v>
      </c>
      <c r="Q381" s="23">
        <f ca="1">IFERROR(__xludf.DUMMYFUNCTION("""COMPUTED_VALUE"""),395)</f>
        <v>395</v>
      </c>
      <c r="R381" s="23">
        <f ca="1">IFERROR(__xludf.DUMMYFUNCTION("""COMPUTED_VALUE"""),5)</f>
        <v>5</v>
      </c>
      <c r="S381" s="24" t="str">
        <f ca="1">IFERROR(__xludf.DUMMYFUNCTION("""COMPUTED_VALUE"""),"Speed Boost")</f>
        <v>Speed Boost</v>
      </c>
      <c r="T381" s="24" t="str">
        <f ca="1">IFERROR(__xludf.DUMMYFUNCTION("""COMPUTED_VALUE"""),"Compound Eyes")</f>
        <v>Compound Eyes</v>
      </c>
      <c r="U381" s="24" t="str">
        <f ca="1">IFERROR(__xludf.DUMMYFUNCTION("""COMPUTED_VALUE"""),"Wind Rider")</f>
        <v>Wind Rider</v>
      </c>
      <c r="V381" s="25"/>
      <c r="W381" s="25"/>
      <c r="X381" s="25" t="str">
        <f ca="1">IFERROR(__xludf.DUMMYFUNCTION("""COMPUTED_VALUE"""),"Wide Lens")</f>
        <v>Wide Lens</v>
      </c>
      <c r="Y381" s="25" t="str">
        <f ca="1">IFERROR(__xludf.DUMMYFUNCTION("""COMPUTED_VALUE"""),"Riverwalk Trail N, Corrin Crossing, Kaptara Island (wild)")</f>
        <v>Riverwalk Trail N, Corrin Crossing, Kaptara Island (wild)</v>
      </c>
    </row>
    <row r="382" spans="1:25" x14ac:dyDescent="0.25">
      <c r="A382" s="15" t="str">
        <f ca="1">IFERROR(__xludf.DUMMYFUNCTION("""COMPUTED_VALUE"""),"Yanmega")</f>
        <v>Yanmega</v>
      </c>
      <c r="B382" s="16">
        <f ca="1">IFERROR(__xludf.DUMMYFUNCTION("""COMPUTED_VALUE"""),381)</f>
        <v>381</v>
      </c>
      <c r="C382" s="3" t="str">
        <f ca="1">IFERROR(__xludf.DUMMYFUNCTION("""COMPUTED_VALUE"""),"Bug")</f>
        <v>Bug</v>
      </c>
      <c r="D382" s="3" t="str">
        <f ca="1">IFERROR(__xludf.DUMMYFUNCTION("""COMPUTED_VALUE"""),"Dragon")</f>
        <v>Dragon</v>
      </c>
      <c r="E382" s="17">
        <f ca="1">IFERROR(__xludf.DUMMYFUNCTION("""COMPUTED_VALUE"""),86)</f>
        <v>86</v>
      </c>
      <c r="F382" s="17">
        <f ca="1">IFERROR(__xludf.DUMMYFUNCTION("""COMPUTED_VALUE"""),0)</f>
        <v>0</v>
      </c>
      <c r="G382" s="18">
        <f ca="1">IFERROR(__xludf.DUMMYFUNCTION("""COMPUTED_VALUE"""),86)</f>
        <v>86</v>
      </c>
      <c r="H382" s="18">
        <f ca="1">IFERROR(__xludf.DUMMYFUNCTION("""COMPUTED_VALUE"""),10)</f>
        <v>10</v>
      </c>
      <c r="I382" s="19">
        <f ca="1">IFERROR(__xludf.DUMMYFUNCTION("""COMPUTED_VALUE"""),86)</f>
        <v>86</v>
      </c>
      <c r="J382" s="19">
        <f ca="1">IFERROR(__xludf.DUMMYFUNCTION("""COMPUTED_VALUE"""),0)</f>
        <v>0</v>
      </c>
      <c r="K382" s="20">
        <f ca="1">IFERROR(__xludf.DUMMYFUNCTION("""COMPUTED_VALUE"""),116)</f>
        <v>116</v>
      </c>
      <c r="L382" s="20">
        <f ca="1">IFERROR(__xludf.DUMMYFUNCTION("""COMPUTED_VALUE"""),0)</f>
        <v>0</v>
      </c>
      <c r="M382" s="21">
        <f ca="1">IFERROR(__xludf.DUMMYFUNCTION("""COMPUTED_VALUE"""),56)</f>
        <v>56</v>
      </c>
      <c r="N382" s="21">
        <f ca="1">IFERROR(__xludf.DUMMYFUNCTION("""COMPUTED_VALUE"""),0)</f>
        <v>0</v>
      </c>
      <c r="O382" s="22">
        <f ca="1">IFERROR(__xludf.DUMMYFUNCTION("""COMPUTED_VALUE"""),95)</f>
        <v>95</v>
      </c>
      <c r="P382" s="22">
        <f ca="1">IFERROR(__xludf.DUMMYFUNCTION("""COMPUTED_VALUE"""),0)</f>
        <v>0</v>
      </c>
      <c r="Q382" s="23">
        <f ca="1">IFERROR(__xludf.DUMMYFUNCTION("""COMPUTED_VALUE"""),525)</f>
        <v>525</v>
      </c>
      <c r="R382" s="23">
        <f ca="1">IFERROR(__xludf.DUMMYFUNCTION("""COMPUTED_VALUE"""),10)</f>
        <v>10</v>
      </c>
      <c r="S382" s="24" t="str">
        <f ca="1">IFERROR(__xludf.DUMMYFUNCTION("""COMPUTED_VALUE"""),"Speed Boost")</f>
        <v>Speed Boost</v>
      </c>
      <c r="T382" s="24" t="str">
        <f ca="1">IFERROR(__xludf.DUMMYFUNCTION("""COMPUTED_VALUE"""),"Tinted Lens")</f>
        <v>Tinted Lens</v>
      </c>
      <c r="U382" s="24" t="str">
        <f ca="1">IFERROR(__xludf.DUMMYFUNCTION("""COMPUTED_VALUE"""),"Wind Rider")</f>
        <v>Wind Rider</v>
      </c>
      <c r="V382" s="25" t="str">
        <f ca="1">IFERROR(__xludf.DUMMYFUNCTION("""COMPUTED_VALUE"""),"Lv. knows Ancient Power")</f>
        <v>Lv. knows Ancient Power</v>
      </c>
      <c r="W382" s="25"/>
      <c r="X382" s="25" t="str">
        <f ca="1">IFERROR(__xludf.DUMMYFUNCTION("""COMPUTED_VALUE"""),"Wide Lens")</f>
        <v>Wide Lens</v>
      </c>
      <c r="Y382" s="25" t="str">
        <f ca="1">IFERROR(__xludf.DUMMYFUNCTION("""COMPUTED_VALUE"""),"Corrin Crossing (wild)")</f>
        <v>Corrin Crossing (wild)</v>
      </c>
    </row>
    <row r="383" spans="1:25" x14ac:dyDescent="0.25">
      <c r="A383" s="15" t="str">
        <f ca="1">IFERROR(__xludf.DUMMYFUNCTION("""COMPUTED_VALUE"""),"Aerodactyl")</f>
        <v>Aerodactyl</v>
      </c>
      <c r="B383" s="16">
        <f ca="1">IFERROR(__xludf.DUMMYFUNCTION("""COMPUTED_VALUE"""),382)</f>
        <v>382</v>
      </c>
      <c r="C383" s="3" t="str">
        <f ca="1">IFERROR(__xludf.DUMMYFUNCTION("""COMPUTED_VALUE"""),"Rock")</f>
        <v>Rock</v>
      </c>
      <c r="D383" s="3" t="str">
        <f ca="1">IFERROR(__xludf.DUMMYFUNCTION("""COMPUTED_VALUE"""),"Flying")</f>
        <v>Flying</v>
      </c>
      <c r="E383" s="17">
        <f ca="1">IFERROR(__xludf.DUMMYFUNCTION("""COMPUTED_VALUE"""),80)</f>
        <v>80</v>
      </c>
      <c r="F383" s="17">
        <f ca="1">IFERROR(__xludf.DUMMYFUNCTION("""COMPUTED_VALUE"""),0)</f>
        <v>0</v>
      </c>
      <c r="G383" s="18">
        <f ca="1">IFERROR(__xludf.DUMMYFUNCTION("""COMPUTED_VALUE"""),105)</f>
        <v>105</v>
      </c>
      <c r="H383" s="18">
        <f ca="1">IFERROR(__xludf.DUMMYFUNCTION("""COMPUTED_VALUE"""),0)</f>
        <v>0</v>
      </c>
      <c r="I383" s="19">
        <f ca="1">IFERROR(__xludf.DUMMYFUNCTION("""COMPUTED_VALUE"""),65)</f>
        <v>65</v>
      </c>
      <c r="J383" s="19">
        <f ca="1">IFERROR(__xludf.DUMMYFUNCTION("""COMPUTED_VALUE"""),0)</f>
        <v>0</v>
      </c>
      <c r="K383" s="20">
        <f ca="1">IFERROR(__xludf.DUMMYFUNCTION("""COMPUTED_VALUE"""),60)</f>
        <v>60</v>
      </c>
      <c r="L383" s="20">
        <f ca="1">IFERROR(__xludf.DUMMYFUNCTION("""COMPUTED_VALUE"""),0)</f>
        <v>0</v>
      </c>
      <c r="M383" s="21">
        <f ca="1">IFERROR(__xludf.DUMMYFUNCTION("""COMPUTED_VALUE"""),75)</f>
        <v>75</v>
      </c>
      <c r="N383" s="21">
        <f ca="1">IFERROR(__xludf.DUMMYFUNCTION("""COMPUTED_VALUE"""),0)</f>
        <v>0</v>
      </c>
      <c r="O383" s="22">
        <f ca="1">IFERROR(__xludf.DUMMYFUNCTION("""COMPUTED_VALUE"""),130)</f>
        <v>130</v>
      </c>
      <c r="P383" s="22">
        <f ca="1">IFERROR(__xludf.DUMMYFUNCTION("""COMPUTED_VALUE"""),0)</f>
        <v>0</v>
      </c>
      <c r="Q383" s="23">
        <f ca="1">IFERROR(__xludf.DUMMYFUNCTION("""COMPUTED_VALUE"""),515)</f>
        <v>515</v>
      </c>
      <c r="R383" s="23">
        <f ca="1">IFERROR(__xludf.DUMMYFUNCTION("""COMPUTED_VALUE"""),0)</f>
        <v>0</v>
      </c>
      <c r="S383" s="24" t="str">
        <f ca="1">IFERROR(__xludf.DUMMYFUNCTION("""COMPUTED_VALUE"""),"Rock Head")</f>
        <v>Rock Head</v>
      </c>
      <c r="T383" s="24" t="str">
        <f ca="1">IFERROR(__xludf.DUMMYFUNCTION("""COMPUTED_VALUE"""),"Pressure")</f>
        <v>Pressure</v>
      </c>
      <c r="U383" s="24" t="str">
        <f ca="1">IFERROR(__xludf.DUMMYFUNCTION("""COMPUTED_VALUE"""),"Strong Jaw")</f>
        <v>Strong Jaw</v>
      </c>
      <c r="V383" s="25"/>
      <c r="W383" s="25"/>
      <c r="X383" s="25"/>
      <c r="Y383" s="25" t="str">
        <f ca="1">IFERROR(__xludf.DUMMYFUNCTION("""COMPUTED_VALUE"""),"Corrin Crossing (wild)")</f>
        <v>Corrin Crossing (wild)</v>
      </c>
    </row>
    <row r="384" spans="1:25" x14ac:dyDescent="0.25">
      <c r="A384" s="15" t="str">
        <f ca="1">IFERROR(__xludf.DUMMYFUNCTION("""COMPUTED_VALUE"""),"Remoraid")</f>
        <v>Remoraid</v>
      </c>
      <c r="B384" s="16">
        <f ca="1">IFERROR(__xludf.DUMMYFUNCTION("""COMPUTED_VALUE"""),383)</f>
        <v>383</v>
      </c>
      <c r="C384" s="3" t="str">
        <f ca="1">IFERROR(__xludf.DUMMYFUNCTION("""COMPUTED_VALUE"""),"Water")</f>
        <v>Water</v>
      </c>
      <c r="D384" s="3"/>
      <c r="E384" s="17">
        <f ca="1">IFERROR(__xludf.DUMMYFUNCTION("""COMPUTED_VALUE"""),35)</f>
        <v>35</v>
      </c>
      <c r="F384" s="17">
        <f ca="1">IFERROR(__xludf.DUMMYFUNCTION("""COMPUTED_VALUE"""),0)</f>
        <v>0</v>
      </c>
      <c r="G384" s="18">
        <f ca="1">IFERROR(__xludf.DUMMYFUNCTION("""COMPUTED_VALUE"""),55)</f>
        <v>55</v>
      </c>
      <c r="H384" s="18">
        <f ca="1">IFERROR(__xludf.DUMMYFUNCTION("""COMPUTED_VALUE"""),-10)</f>
        <v>-10</v>
      </c>
      <c r="I384" s="19">
        <f ca="1">IFERROR(__xludf.DUMMYFUNCTION("""COMPUTED_VALUE"""),35)</f>
        <v>35</v>
      </c>
      <c r="J384" s="19">
        <f ca="1">IFERROR(__xludf.DUMMYFUNCTION("""COMPUTED_VALUE"""),0)</f>
        <v>0</v>
      </c>
      <c r="K384" s="20">
        <f ca="1">IFERROR(__xludf.DUMMYFUNCTION("""COMPUTED_VALUE"""),80)</f>
        <v>80</v>
      </c>
      <c r="L384" s="20">
        <f ca="1">IFERROR(__xludf.DUMMYFUNCTION("""COMPUTED_VALUE"""),15)</f>
        <v>15</v>
      </c>
      <c r="M384" s="21">
        <f ca="1">IFERROR(__xludf.DUMMYFUNCTION("""COMPUTED_VALUE"""),35)</f>
        <v>35</v>
      </c>
      <c r="N384" s="21">
        <f ca="1">IFERROR(__xludf.DUMMYFUNCTION("""COMPUTED_VALUE"""),0)</f>
        <v>0</v>
      </c>
      <c r="O384" s="22">
        <f ca="1">IFERROR(__xludf.DUMMYFUNCTION("""COMPUTED_VALUE"""),65)</f>
        <v>65</v>
      </c>
      <c r="P384" s="22">
        <f ca="1">IFERROR(__xludf.DUMMYFUNCTION("""COMPUTED_VALUE"""),0)</f>
        <v>0</v>
      </c>
      <c r="Q384" s="23">
        <f ca="1">IFERROR(__xludf.DUMMYFUNCTION("""COMPUTED_VALUE"""),305)</f>
        <v>305</v>
      </c>
      <c r="R384" s="23">
        <f ca="1">IFERROR(__xludf.DUMMYFUNCTION("""COMPUTED_VALUE"""),5)</f>
        <v>5</v>
      </c>
      <c r="S384" s="24" t="str">
        <f ca="1">IFERROR(__xludf.DUMMYFUNCTION("""COMPUTED_VALUE"""),"Mega Launcher")</f>
        <v>Mega Launcher</v>
      </c>
      <c r="T384" s="24" t="str">
        <f ca="1">IFERROR(__xludf.DUMMYFUNCTION("""COMPUTED_VALUE"""),"Sniper")</f>
        <v>Sniper</v>
      </c>
      <c r="U384" s="24" t="str">
        <f ca="1">IFERROR(__xludf.DUMMYFUNCTION("""COMPUTED_VALUE"""),"Moody")</f>
        <v>Moody</v>
      </c>
      <c r="V384" s="25"/>
      <c r="W384" s="25"/>
      <c r="X384" s="25"/>
      <c r="Y384" s="25" t="str">
        <f ca="1">IFERROR(__xludf.DUMMYFUNCTION("""COMPUTED_VALUE"""),"Acrisia City, Acrisia Mountains, Riverwalk Trail N, Pythios Cemetery (surf) Acrisia City, Acrisia Mountains, Kalami City, Riverwalk Trail N, Riverwalk Trail S, Wanderer`s Woods, Pythios Town (SR)(fish) Froslass Cavern, Sea of Vulcai, Fresco Isles")</f>
        <v>Acrisia City, Acrisia Mountains, Riverwalk Trail N, Pythios Cemetery (surf) Acrisia City, Acrisia Mountains, Kalami City, Riverwalk Trail N, Riverwalk Trail S, Wanderer`s Woods, Pythios Town (SR)(fish) Froslass Cavern, Sea of Vulcai, Fresco Isles</v>
      </c>
    </row>
    <row r="385" spans="1:25" x14ac:dyDescent="0.25">
      <c r="A385" s="15" t="str">
        <f ca="1">IFERROR(__xludf.DUMMYFUNCTION("""COMPUTED_VALUE"""),"Octillery")</f>
        <v>Octillery</v>
      </c>
      <c r="B385" s="16">
        <f ca="1">IFERROR(__xludf.DUMMYFUNCTION("""COMPUTED_VALUE"""),384)</f>
        <v>384</v>
      </c>
      <c r="C385" s="3" t="str">
        <f ca="1">IFERROR(__xludf.DUMMYFUNCTION("""COMPUTED_VALUE"""),"Water")</f>
        <v>Water</v>
      </c>
      <c r="D385" s="3" t="str">
        <f ca="1">IFERROR(__xludf.DUMMYFUNCTION("""COMPUTED_VALUE"""),"Fire")</f>
        <v>Fire</v>
      </c>
      <c r="E385" s="17">
        <f ca="1">IFERROR(__xludf.DUMMYFUNCTION("""COMPUTED_VALUE"""),110)</f>
        <v>110</v>
      </c>
      <c r="F385" s="17">
        <f ca="1">IFERROR(__xludf.DUMMYFUNCTION("""COMPUTED_VALUE"""),35)</f>
        <v>35</v>
      </c>
      <c r="G385" s="18">
        <f ca="1">IFERROR(__xludf.DUMMYFUNCTION("""COMPUTED_VALUE"""),95)</f>
        <v>95</v>
      </c>
      <c r="H385" s="18">
        <f ca="1">IFERROR(__xludf.DUMMYFUNCTION("""COMPUTED_VALUE"""),-10)</f>
        <v>-10</v>
      </c>
      <c r="I385" s="19">
        <f ca="1">IFERROR(__xludf.DUMMYFUNCTION("""COMPUTED_VALUE"""),75)</f>
        <v>75</v>
      </c>
      <c r="J385" s="19">
        <f ca="1">IFERROR(__xludf.DUMMYFUNCTION("""COMPUTED_VALUE"""),0)</f>
        <v>0</v>
      </c>
      <c r="K385" s="20">
        <f ca="1">IFERROR(__xludf.DUMMYFUNCTION("""COMPUTED_VALUE"""),100)</f>
        <v>100</v>
      </c>
      <c r="L385" s="20">
        <f ca="1">IFERROR(__xludf.DUMMYFUNCTION("""COMPUTED_VALUE"""),-5)</f>
        <v>-5</v>
      </c>
      <c r="M385" s="21">
        <f ca="1">IFERROR(__xludf.DUMMYFUNCTION("""COMPUTED_VALUE"""),75)</f>
        <v>75</v>
      </c>
      <c r="N385" s="21">
        <f ca="1">IFERROR(__xludf.DUMMYFUNCTION("""COMPUTED_VALUE"""),0)</f>
        <v>0</v>
      </c>
      <c r="O385" s="22">
        <f ca="1">IFERROR(__xludf.DUMMYFUNCTION("""COMPUTED_VALUE"""),40)</f>
        <v>40</v>
      </c>
      <c r="P385" s="22">
        <f ca="1">IFERROR(__xludf.DUMMYFUNCTION("""COMPUTED_VALUE"""),-5)</f>
        <v>-5</v>
      </c>
      <c r="Q385" s="23">
        <f ca="1">IFERROR(__xludf.DUMMYFUNCTION("""COMPUTED_VALUE"""),495)</f>
        <v>495</v>
      </c>
      <c r="R385" s="23">
        <f ca="1">IFERROR(__xludf.DUMMYFUNCTION("""COMPUTED_VALUE"""),15)</f>
        <v>15</v>
      </c>
      <c r="S385" s="24" t="str">
        <f ca="1">IFERROR(__xludf.DUMMYFUNCTION("""COMPUTED_VALUE"""),"Mega Launcher")</f>
        <v>Mega Launcher</v>
      </c>
      <c r="T385" s="24" t="str">
        <f ca="1">IFERROR(__xludf.DUMMYFUNCTION("""COMPUTED_VALUE"""),"Sniper")</f>
        <v>Sniper</v>
      </c>
      <c r="U385" s="24" t="str">
        <f ca="1">IFERROR(__xludf.DUMMYFUNCTION("""COMPUTED_VALUE"""),"Moody")</f>
        <v>Moody</v>
      </c>
      <c r="V385" s="25" t="str">
        <f ca="1">IFERROR(__xludf.DUMMYFUNCTION("""COMPUTED_VALUE"""),"Lv. 27")</f>
        <v>Lv. 27</v>
      </c>
      <c r="W385" s="25"/>
      <c r="X385" s="25"/>
      <c r="Y385" s="25" t="str">
        <f ca="1">IFERROR(__xludf.DUMMYFUNCTION("""COMPUTED_VALUE"""),"Sea of Vulcai")</f>
        <v>Sea of Vulcai</v>
      </c>
    </row>
    <row r="386" spans="1:25" x14ac:dyDescent="0.25">
      <c r="A386" s="15" t="str">
        <f ca="1">IFERROR(__xludf.DUMMYFUNCTION("""COMPUTED_VALUE"""),"Rufflet")</f>
        <v>Rufflet</v>
      </c>
      <c r="B386" s="16">
        <f ca="1">IFERROR(__xludf.DUMMYFUNCTION("""COMPUTED_VALUE"""),385)</f>
        <v>385</v>
      </c>
      <c r="C386" s="3" t="str">
        <f ca="1">IFERROR(__xludf.DUMMYFUNCTION("""COMPUTED_VALUE"""),"Normal")</f>
        <v>Normal</v>
      </c>
      <c r="D386" s="3" t="str">
        <f ca="1">IFERROR(__xludf.DUMMYFUNCTION("""COMPUTED_VALUE"""),"Flying")</f>
        <v>Flying</v>
      </c>
      <c r="E386" s="17">
        <f ca="1">IFERROR(__xludf.DUMMYFUNCTION("""COMPUTED_VALUE"""),70)</f>
        <v>70</v>
      </c>
      <c r="F386" s="17">
        <f ca="1">IFERROR(__xludf.DUMMYFUNCTION("""COMPUTED_VALUE"""),0)</f>
        <v>0</v>
      </c>
      <c r="G386" s="18">
        <f ca="1">IFERROR(__xludf.DUMMYFUNCTION("""COMPUTED_VALUE"""),83)</f>
        <v>83</v>
      </c>
      <c r="H386" s="18">
        <f ca="1">IFERROR(__xludf.DUMMYFUNCTION("""COMPUTED_VALUE"""),0)</f>
        <v>0</v>
      </c>
      <c r="I386" s="19">
        <f ca="1">IFERROR(__xludf.DUMMYFUNCTION("""COMPUTED_VALUE"""),50)</f>
        <v>50</v>
      </c>
      <c r="J386" s="19">
        <f ca="1">IFERROR(__xludf.DUMMYFUNCTION("""COMPUTED_VALUE"""),0)</f>
        <v>0</v>
      </c>
      <c r="K386" s="20">
        <f ca="1">IFERROR(__xludf.DUMMYFUNCTION("""COMPUTED_VALUE"""),37)</f>
        <v>37</v>
      </c>
      <c r="L386" s="20">
        <f ca="1">IFERROR(__xludf.DUMMYFUNCTION("""COMPUTED_VALUE"""),0)</f>
        <v>0</v>
      </c>
      <c r="M386" s="21">
        <f ca="1">IFERROR(__xludf.DUMMYFUNCTION("""COMPUTED_VALUE"""),50)</f>
        <v>50</v>
      </c>
      <c r="N386" s="21">
        <f ca="1">IFERROR(__xludf.DUMMYFUNCTION("""COMPUTED_VALUE"""),0)</f>
        <v>0</v>
      </c>
      <c r="O386" s="22">
        <f ca="1">IFERROR(__xludf.DUMMYFUNCTION("""COMPUTED_VALUE"""),60)</f>
        <v>60</v>
      </c>
      <c r="P386" s="22">
        <f ca="1">IFERROR(__xludf.DUMMYFUNCTION("""COMPUTED_VALUE"""),0)</f>
        <v>0</v>
      </c>
      <c r="Q386" s="23">
        <f ca="1">IFERROR(__xludf.DUMMYFUNCTION("""COMPUTED_VALUE"""),350)</f>
        <v>350</v>
      </c>
      <c r="R386" s="23">
        <f ca="1">IFERROR(__xludf.DUMMYFUNCTION("""COMPUTED_VALUE"""),0)</f>
        <v>0</v>
      </c>
      <c r="S386" s="24" t="str">
        <f ca="1">IFERROR(__xludf.DUMMYFUNCTION("""COMPUTED_VALUE"""),"Keen Eye")</f>
        <v>Keen Eye</v>
      </c>
      <c r="T386" s="24" t="str">
        <f ca="1">IFERROR(__xludf.DUMMYFUNCTION("""COMPUTED_VALUE"""),"Sheer Force")</f>
        <v>Sheer Force</v>
      </c>
      <c r="U386" s="24" t="str">
        <f ca="1">IFERROR(__xludf.DUMMYFUNCTION("""COMPUTED_VALUE"""),"Fluffy")</f>
        <v>Fluffy</v>
      </c>
      <c r="V386" s="25"/>
      <c r="W386" s="25"/>
      <c r="X386" s="25"/>
      <c r="Y386" s="25" t="str">
        <f ca="1">IFERROR(__xludf.DUMMYFUNCTION("""COMPUTED_VALUE"""),"Pythios Town, Sea of Asteri (wild)")</f>
        <v>Pythios Town, Sea of Asteri (wild)</v>
      </c>
    </row>
    <row r="387" spans="1:25" x14ac:dyDescent="0.25">
      <c r="A387" s="15" t="str">
        <f ca="1">IFERROR(__xludf.DUMMYFUNCTION("""COMPUTED_VALUE"""),"Braviary")</f>
        <v>Braviary</v>
      </c>
      <c r="B387" s="16">
        <f ca="1">IFERROR(__xludf.DUMMYFUNCTION("""COMPUTED_VALUE"""),386)</f>
        <v>386</v>
      </c>
      <c r="C387" s="3" t="str">
        <f ca="1">IFERROR(__xludf.DUMMYFUNCTION("""COMPUTED_VALUE"""),"Normal")</f>
        <v>Normal</v>
      </c>
      <c r="D387" s="3" t="str">
        <f ca="1">IFERROR(__xludf.DUMMYFUNCTION("""COMPUTED_VALUE"""),"Flying")</f>
        <v>Flying</v>
      </c>
      <c r="E387" s="17">
        <f ca="1">IFERROR(__xludf.DUMMYFUNCTION("""COMPUTED_VALUE"""),100)</f>
        <v>100</v>
      </c>
      <c r="F387" s="17">
        <f ca="1">IFERROR(__xludf.DUMMYFUNCTION("""COMPUTED_VALUE"""),0)</f>
        <v>0</v>
      </c>
      <c r="G387" s="18">
        <f ca="1">IFERROR(__xludf.DUMMYFUNCTION("""COMPUTED_VALUE"""),123)</f>
        <v>123</v>
      </c>
      <c r="H387" s="18">
        <f ca="1">IFERROR(__xludf.DUMMYFUNCTION("""COMPUTED_VALUE"""),0)</f>
        <v>0</v>
      </c>
      <c r="I387" s="19">
        <f ca="1">IFERROR(__xludf.DUMMYFUNCTION("""COMPUTED_VALUE"""),75)</f>
        <v>75</v>
      </c>
      <c r="J387" s="19">
        <f ca="1">IFERROR(__xludf.DUMMYFUNCTION("""COMPUTED_VALUE"""),0)</f>
        <v>0</v>
      </c>
      <c r="K387" s="20">
        <f ca="1">IFERROR(__xludf.DUMMYFUNCTION("""COMPUTED_VALUE"""),57)</f>
        <v>57</v>
      </c>
      <c r="L387" s="20">
        <f ca="1">IFERROR(__xludf.DUMMYFUNCTION("""COMPUTED_VALUE"""),0)</f>
        <v>0</v>
      </c>
      <c r="M387" s="21">
        <f ca="1">IFERROR(__xludf.DUMMYFUNCTION("""COMPUTED_VALUE"""),75)</f>
        <v>75</v>
      </c>
      <c r="N387" s="21">
        <f ca="1">IFERROR(__xludf.DUMMYFUNCTION("""COMPUTED_VALUE"""),0)</f>
        <v>0</v>
      </c>
      <c r="O387" s="22">
        <f ca="1">IFERROR(__xludf.DUMMYFUNCTION("""COMPUTED_VALUE"""),80)</f>
        <v>80</v>
      </c>
      <c r="P387" s="22">
        <f ca="1">IFERROR(__xludf.DUMMYFUNCTION("""COMPUTED_VALUE"""),0)</f>
        <v>0</v>
      </c>
      <c r="Q387" s="23">
        <f ca="1">IFERROR(__xludf.DUMMYFUNCTION("""COMPUTED_VALUE"""),510)</f>
        <v>510</v>
      </c>
      <c r="R387" s="23">
        <f ca="1">IFERROR(__xludf.DUMMYFUNCTION("""COMPUTED_VALUE"""),0)</f>
        <v>0</v>
      </c>
      <c r="S387" s="24" t="str">
        <f ca="1">IFERROR(__xludf.DUMMYFUNCTION("""COMPUTED_VALUE"""),"Keen Eye")</f>
        <v>Keen Eye</v>
      </c>
      <c r="T387" s="24" t="str">
        <f ca="1">IFERROR(__xludf.DUMMYFUNCTION("""COMPUTED_VALUE"""),"Sheer Force")</f>
        <v>Sheer Force</v>
      </c>
      <c r="U387" s="24" t="str">
        <f ca="1">IFERROR(__xludf.DUMMYFUNCTION("""COMPUTED_VALUE"""),"Fluffy")</f>
        <v>Fluffy</v>
      </c>
      <c r="V387" s="25" t="str">
        <f ca="1">IFERROR(__xludf.DUMMYFUNCTION("""COMPUTED_VALUE"""),"Lv. 34, Day")</f>
        <v>Lv. 34, Day</v>
      </c>
      <c r="W387" s="25"/>
      <c r="X387" s="25"/>
      <c r="Y387" s="25" t="str">
        <f ca="1">IFERROR(__xludf.DUMMYFUNCTION("""COMPUTED_VALUE"""),"Corrin Crossing (wild)")</f>
        <v>Corrin Crossing (wild)</v>
      </c>
    </row>
    <row r="388" spans="1:25" x14ac:dyDescent="0.25">
      <c r="A388" s="15" t="str">
        <f ca="1">IFERROR(__xludf.DUMMYFUNCTION("""COMPUTED_VALUE"""),"Litleo")</f>
        <v>Litleo</v>
      </c>
      <c r="B388" s="16">
        <f ca="1">IFERROR(__xludf.DUMMYFUNCTION("""COMPUTED_VALUE"""),387)</f>
        <v>387</v>
      </c>
      <c r="C388" s="3" t="str">
        <f ca="1">IFERROR(__xludf.DUMMYFUNCTION("""COMPUTED_VALUE"""),"Fire")</f>
        <v>Fire</v>
      </c>
      <c r="D388" s="3" t="str">
        <f ca="1">IFERROR(__xludf.DUMMYFUNCTION("""COMPUTED_VALUE"""),"Normal")</f>
        <v>Normal</v>
      </c>
      <c r="E388" s="17">
        <f ca="1">IFERROR(__xludf.DUMMYFUNCTION("""COMPUTED_VALUE"""),62)</f>
        <v>62</v>
      </c>
      <c r="F388" s="17">
        <f ca="1">IFERROR(__xludf.DUMMYFUNCTION("""COMPUTED_VALUE"""),0)</f>
        <v>0</v>
      </c>
      <c r="G388" s="18">
        <f ca="1">IFERROR(__xludf.DUMMYFUNCTION("""COMPUTED_VALUE"""),60)</f>
        <v>60</v>
      </c>
      <c r="H388" s="18">
        <f ca="1">IFERROR(__xludf.DUMMYFUNCTION("""COMPUTED_VALUE"""),10)</f>
        <v>10</v>
      </c>
      <c r="I388" s="19">
        <f ca="1">IFERROR(__xludf.DUMMYFUNCTION("""COMPUTED_VALUE"""),58)</f>
        <v>58</v>
      </c>
      <c r="J388" s="19">
        <f ca="1">IFERROR(__xludf.DUMMYFUNCTION("""COMPUTED_VALUE"""),0)</f>
        <v>0</v>
      </c>
      <c r="K388" s="20">
        <f ca="1">IFERROR(__xludf.DUMMYFUNCTION("""COMPUTED_VALUE"""),73)</f>
        <v>73</v>
      </c>
      <c r="L388" s="20">
        <f ca="1">IFERROR(__xludf.DUMMYFUNCTION("""COMPUTED_VALUE"""),0)</f>
        <v>0</v>
      </c>
      <c r="M388" s="21">
        <f ca="1">IFERROR(__xludf.DUMMYFUNCTION("""COMPUTED_VALUE"""),54)</f>
        <v>54</v>
      </c>
      <c r="N388" s="21">
        <f ca="1">IFERROR(__xludf.DUMMYFUNCTION("""COMPUTED_VALUE"""),0)</f>
        <v>0</v>
      </c>
      <c r="O388" s="22">
        <f ca="1">IFERROR(__xludf.DUMMYFUNCTION("""COMPUTED_VALUE"""),72)</f>
        <v>72</v>
      </c>
      <c r="P388" s="22">
        <f ca="1">IFERROR(__xludf.DUMMYFUNCTION("""COMPUTED_VALUE"""),0)</f>
        <v>0</v>
      </c>
      <c r="Q388" s="23">
        <f ca="1">IFERROR(__xludf.DUMMYFUNCTION("""COMPUTED_VALUE"""),379)</f>
        <v>379</v>
      </c>
      <c r="R388" s="23">
        <f ca="1">IFERROR(__xludf.DUMMYFUNCTION("""COMPUTED_VALUE"""),10)</f>
        <v>10</v>
      </c>
      <c r="S388" s="25" t="str">
        <f ca="1">IFERROR(__xludf.DUMMYFUNCTION("""COMPUTED_VALUE"""),"Moxie")</f>
        <v>Moxie</v>
      </c>
      <c r="T388" s="25" t="str">
        <f ca="1">IFERROR(__xludf.DUMMYFUNCTION("""COMPUTED_VALUE"""),"Unnerve")</f>
        <v>Unnerve</v>
      </c>
      <c r="U388" s="25" t="str">
        <f ca="1">IFERROR(__xludf.DUMMYFUNCTION("""COMPUTED_VALUE"""),"Adaptability")</f>
        <v>Adaptability</v>
      </c>
      <c r="V388" s="25"/>
      <c r="W388" s="25"/>
      <c r="X388" s="25"/>
      <c r="Y388" s="25"/>
    </row>
    <row r="389" spans="1:25" x14ac:dyDescent="0.25">
      <c r="A389" s="15" t="str">
        <f ca="1">IFERROR(__xludf.DUMMYFUNCTION("""COMPUTED_VALUE"""),"Pyroar♂")</f>
        <v>Pyroar♂</v>
      </c>
      <c r="B389" s="16">
        <f ca="1">IFERROR(__xludf.DUMMYFUNCTION("""COMPUTED_VALUE"""),388)</f>
        <v>388</v>
      </c>
      <c r="C389" s="3" t="str">
        <f ca="1">IFERROR(__xludf.DUMMYFUNCTION("""COMPUTED_VALUE"""),"Fire")</f>
        <v>Fire</v>
      </c>
      <c r="D389" s="3" t="str">
        <f ca="1">IFERROR(__xludf.DUMMYFUNCTION("""COMPUTED_VALUE"""),"Normal")</f>
        <v>Normal</v>
      </c>
      <c r="E389" s="17">
        <f ca="1">IFERROR(__xludf.DUMMYFUNCTION("""COMPUTED_VALUE"""),96)</f>
        <v>96</v>
      </c>
      <c r="F389" s="17">
        <f ca="1">IFERROR(__xludf.DUMMYFUNCTION("""COMPUTED_VALUE"""),10)</f>
        <v>10</v>
      </c>
      <c r="G389" s="18">
        <f ca="1">IFERROR(__xludf.DUMMYFUNCTION("""COMPUTED_VALUE"""),109)</f>
        <v>109</v>
      </c>
      <c r="H389" s="18">
        <f ca="1">IFERROR(__xludf.DUMMYFUNCTION("""COMPUTED_VALUE"""),41)</f>
        <v>41</v>
      </c>
      <c r="I389" s="19">
        <f ca="1">IFERROR(__xludf.DUMMYFUNCTION("""COMPUTED_VALUE"""),82)</f>
        <v>82</v>
      </c>
      <c r="J389" s="19">
        <f ca="1">IFERROR(__xludf.DUMMYFUNCTION("""COMPUTED_VALUE"""),10)</f>
        <v>10</v>
      </c>
      <c r="K389" s="20">
        <f ca="1">IFERROR(__xludf.DUMMYFUNCTION("""COMPUTED_VALUE"""),68)</f>
        <v>68</v>
      </c>
      <c r="L389" s="20">
        <f ca="1">IFERROR(__xludf.DUMMYFUNCTION("""COMPUTED_VALUE"""),-41)</f>
        <v>-41</v>
      </c>
      <c r="M389" s="21">
        <f ca="1">IFERROR(__xludf.DUMMYFUNCTION("""COMPUTED_VALUE"""),66)</f>
        <v>66</v>
      </c>
      <c r="N389" s="21">
        <f ca="1">IFERROR(__xludf.DUMMYFUNCTION("""COMPUTED_VALUE"""),0)</f>
        <v>0</v>
      </c>
      <c r="O389" s="22">
        <f ca="1">IFERROR(__xludf.DUMMYFUNCTION("""COMPUTED_VALUE"""),106)</f>
        <v>106</v>
      </c>
      <c r="P389" s="22">
        <f ca="1">IFERROR(__xludf.DUMMYFUNCTION("""COMPUTED_VALUE"""),0)</f>
        <v>0</v>
      </c>
      <c r="Q389" s="23">
        <f ca="1">IFERROR(__xludf.DUMMYFUNCTION("""COMPUTED_VALUE"""),527)</f>
        <v>527</v>
      </c>
      <c r="R389" s="23">
        <f ca="1">IFERROR(__xludf.DUMMYFUNCTION("""COMPUTED_VALUE"""),20)</f>
        <v>20</v>
      </c>
      <c r="S389" s="25" t="str">
        <f ca="1">IFERROR(__xludf.DUMMYFUNCTION("""COMPUTED_VALUE"""),"Moxie")</f>
        <v>Moxie</v>
      </c>
      <c r="T389" s="25" t="str">
        <f ca="1">IFERROR(__xludf.DUMMYFUNCTION("""COMPUTED_VALUE"""),"Unnerve")</f>
        <v>Unnerve</v>
      </c>
      <c r="U389" s="25" t="str">
        <f ca="1">IFERROR(__xludf.DUMMYFUNCTION("""COMPUTED_VALUE"""),"Adaptability")</f>
        <v>Adaptability</v>
      </c>
      <c r="V389" s="25" t="str">
        <f ca="1">IFERROR(__xludf.DUMMYFUNCTION("""COMPUTED_VALUE"""),"Lv. 31, Male")</f>
        <v>Lv. 31, Male</v>
      </c>
      <c r="W389" s="25"/>
      <c r="X389" s="25"/>
      <c r="Y389" s="25"/>
    </row>
    <row r="390" spans="1:25" x14ac:dyDescent="0.25">
      <c r="A390" s="15" t="str">
        <f ca="1">IFERROR(__xludf.DUMMYFUNCTION("""COMPUTED_VALUE"""),"Pyroar♀")</f>
        <v>Pyroar♀</v>
      </c>
      <c r="B390" s="16">
        <f ca="1">IFERROR(__xludf.DUMMYFUNCTION("""COMPUTED_VALUE"""),389)</f>
        <v>389</v>
      </c>
      <c r="C390" s="3" t="str">
        <f ca="1">IFERROR(__xludf.DUMMYFUNCTION("""COMPUTED_VALUE"""),"Fire")</f>
        <v>Fire</v>
      </c>
      <c r="D390" s="3" t="str">
        <f ca="1">IFERROR(__xludf.DUMMYFUNCTION("""COMPUTED_VALUE"""),"Normal")</f>
        <v>Normal</v>
      </c>
      <c r="E390" s="17">
        <f ca="1">IFERROR(__xludf.DUMMYFUNCTION("""COMPUTED_VALUE"""),86)</f>
        <v>86</v>
      </c>
      <c r="F390" s="17">
        <f ca="1">IFERROR(__xludf.DUMMYFUNCTION("""COMPUTED_VALUE"""),0)</f>
        <v>0</v>
      </c>
      <c r="G390" s="18">
        <f ca="1">IFERROR(__xludf.DUMMYFUNCTION("""COMPUTED_VALUE"""),68)</f>
        <v>68</v>
      </c>
      <c r="H390" s="18">
        <f ca="1">IFERROR(__xludf.DUMMYFUNCTION("""COMPUTED_VALUE"""),0)</f>
        <v>0</v>
      </c>
      <c r="I390" s="19">
        <f ca="1">IFERROR(__xludf.DUMMYFUNCTION("""COMPUTED_VALUE"""),72)</f>
        <v>72</v>
      </c>
      <c r="J390" s="19">
        <f ca="1">IFERROR(__xludf.DUMMYFUNCTION("""COMPUTED_VALUE"""),0)</f>
        <v>0</v>
      </c>
      <c r="K390" s="20">
        <f ca="1">IFERROR(__xludf.DUMMYFUNCTION("""COMPUTED_VALUE"""),109)</f>
        <v>109</v>
      </c>
      <c r="L390" s="20">
        <f ca="1">IFERROR(__xludf.DUMMYFUNCTION("""COMPUTED_VALUE"""),0)</f>
        <v>0</v>
      </c>
      <c r="M390" s="21">
        <f ca="1">IFERROR(__xludf.DUMMYFUNCTION("""COMPUTED_VALUE"""),76)</f>
        <v>76</v>
      </c>
      <c r="N390" s="21">
        <f ca="1">IFERROR(__xludf.DUMMYFUNCTION("""COMPUTED_VALUE"""),10)</f>
        <v>10</v>
      </c>
      <c r="O390" s="22">
        <f ca="1">IFERROR(__xludf.DUMMYFUNCTION("""COMPUTED_VALUE"""),116)</f>
        <v>116</v>
      </c>
      <c r="P390" s="22">
        <f ca="1">IFERROR(__xludf.DUMMYFUNCTION("""COMPUTED_VALUE"""),10)</f>
        <v>10</v>
      </c>
      <c r="Q390" s="23">
        <f ca="1">IFERROR(__xludf.DUMMYFUNCTION("""COMPUTED_VALUE"""),527)</f>
        <v>527</v>
      </c>
      <c r="R390" s="23">
        <f ca="1">IFERROR(__xludf.DUMMYFUNCTION("""COMPUTED_VALUE"""),20)</f>
        <v>20</v>
      </c>
      <c r="S390" s="25" t="str">
        <f ca="1">IFERROR(__xludf.DUMMYFUNCTION("""COMPUTED_VALUE"""),"Moxie")</f>
        <v>Moxie</v>
      </c>
      <c r="T390" s="25" t="str">
        <f ca="1">IFERROR(__xludf.DUMMYFUNCTION("""COMPUTED_VALUE"""),"Unnerve")</f>
        <v>Unnerve</v>
      </c>
      <c r="U390" s="25" t="str">
        <f ca="1">IFERROR(__xludf.DUMMYFUNCTION("""COMPUTED_VALUE"""),"Adaptability")</f>
        <v>Adaptability</v>
      </c>
      <c r="V390" s="25" t="str">
        <f ca="1">IFERROR(__xludf.DUMMYFUNCTION("""COMPUTED_VALUE"""),"Lv. 31, Female")</f>
        <v>Lv. 31, Female</v>
      </c>
      <c r="W390" s="25"/>
      <c r="X390" s="25"/>
      <c r="Y390" s="25"/>
    </row>
    <row r="391" spans="1:25" x14ac:dyDescent="0.25">
      <c r="A391" s="15" t="str">
        <f ca="1">IFERROR(__xludf.DUMMYFUNCTION("""COMPUTED_VALUE"""),"Natu")</f>
        <v>Natu</v>
      </c>
      <c r="B391" s="16">
        <f ca="1">IFERROR(__xludf.DUMMYFUNCTION("""COMPUTED_VALUE"""),390)</f>
        <v>390</v>
      </c>
      <c r="C391" s="3" t="str">
        <f ca="1">IFERROR(__xludf.DUMMYFUNCTION("""COMPUTED_VALUE"""),"Psychic")</f>
        <v>Psychic</v>
      </c>
      <c r="D391" s="3" t="str">
        <f ca="1">IFERROR(__xludf.DUMMYFUNCTION("""COMPUTED_VALUE"""),"Flying")</f>
        <v>Flying</v>
      </c>
      <c r="E391" s="17">
        <f ca="1">IFERROR(__xludf.DUMMYFUNCTION("""COMPUTED_VALUE"""),40)</f>
        <v>40</v>
      </c>
      <c r="F391" s="17">
        <f ca="1">IFERROR(__xludf.DUMMYFUNCTION("""COMPUTED_VALUE"""),0)</f>
        <v>0</v>
      </c>
      <c r="G391" s="18">
        <f ca="1">IFERROR(__xludf.DUMMYFUNCTION("""COMPUTED_VALUE"""),50)</f>
        <v>50</v>
      </c>
      <c r="H391" s="18">
        <f ca="1">IFERROR(__xludf.DUMMYFUNCTION("""COMPUTED_VALUE"""),0)</f>
        <v>0</v>
      </c>
      <c r="I391" s="19">
        <f ca="1">IFERROR(__xludf.DUMMYFUNCTION("""COMPUTED_VALUE"""),45)</f>
        <v>45</v>
      </c>
      <c r="J391" s="19">
        <f ca="1">IFERROR(__xludf.DUMMYFUNCTION("""COMPUTED_VALUE"""),0)</f>
        <v>0</v>
      </c>
      <c r="K391" s="20">
        <f ca="1">IFERROR(__xludf.DUMMYFUNCTION("""COMPUTED_VALUE"""),70)</f>
        <v>70</v>
      </c>
      <c r="L391" s="20">
        <f ca="1">IFERROR(__xludf.DUMMYFUNCTION("""COMPUTED_VALUE"""),0)</f>
        <v>0</v>
      </c>
      <c r="M391" s="21">
        <f ca="1">IFERROR(__xludf.DUMMYFUNCTION("""COMPUTED_VALUE"""),45)</f>
        <v>45</v>
      </c>
      <c r="N391" s="21">
        <f ca="1">IFERROR(__xludf.DUMMYFUNCTION("""COMPUTED_VALUE"""),0)</f>
        <v>0</v>
      </c>
      <c r="O391" s="22">
        <f ca="1">IFERROR(__xludf.DUMMYFUNCTION("""COMPUTED_VALUE"""),70)</f>
        <v>70</v>
      </c>
      <c r="P391" s="22">
        <f ca="1">IFERROR(__xludf.DUMMYFUNCTION("""COMPUTED_VALUE"""),0)</f>
        <v>0</v>
      </c>
      <c r="Q391" s="23">
        <f ca="1">IFERROR(__xludf.DUMMYFUNCTION("""COMPUTED_VALUE"""),320)</f>
        <v>320</v>
      </c>
      <c r="R391" s="23">
        <f ca="1">IFERROR(__xludf.DUMMYFUNCTION("""COMPUTED_VALUE"""),0)</f>
        <v>0</v>
      </c>
      <c r="S391" s="24" t="str">
        <f ca="1">IFERROR(__xludf.DUMMYFUNCTION("""COMPUTED_VALUE"""),"Synchronize")</f>
        <v>Synchronize</v>
      </c>
      <c r="T391" s="24" t="str">
        <f ca="1">IFERROR(__xludf.DUMMYFUNCTION("""COMPUTED_VALUE"""),"Early Bird")</f>
        <v>Early Bird</v>
      </c>
      <c r="U391" s="24" t="str">
        <f ca="1">IFERROR(__xludf.DUMMYFUNCTION("""COMPUTED_VALUE"""),"Magic Bounce")</f>
        <v>Magic Bounce</v>
      </c>
      <c r="V391" s="25"/>
      <c r="W391" s="25"/>
      <c r="X391" s="25"/>
      <c r="Y391" s="25" t="str">
        <f ca="1">IFERROR(__xludf.DUMMYFUNCTION("""COMPUTED_VALUE"""),"Wanderer`s Woods, Pythios Cemetery (wild)")</f>
        <v>Wanderer`s Woods, Pythios Cemetery (wild)</v>
      </c>
    </row>
    <row r="392" spans="1:25" x14ac:dyDescent="0.25">
      <c r="A392" s="15" t="str">
        <f ca="1">IFERROR(__xludf.DUMMYFUNCTION("""COMPUTED_VALUE"""),"Xatu")</f>
        <v>Xatu</v>
      </c>
      <c r="B392" s="16">
        <f ca="1">IFERROR(__xludf.DUMMYFUNCTION("""COMPUTED_VALUE"""),391)</f>
        <v>391</v>
      </c>
      <c r="C392" s="3" t="str">
        <f ca="1">IFERROR(__xludf.DUMMYFUNCTION("""COMPUTED_VALUE"""),"Psychic")</f>
        <v>Psychic</v>
      </c>
      <c r="D392" s="3" t="str">
        <f ca="1">IFERROR(__xludf.DUMMYFUNCTION("""COMPUTED_VALUE"""),"Flying")</f>
        <v>Flying</v>
      </c>
      <c r="E392" s="17">
        <f ca="1">IFERROR(__xludf.DUMMYFUNCTION("""COMPUTED_VALUE"""),75)</f>
        <v>75</v>
      </c>
      <c r="F392" s="17">
        <f ca="1">IFERROR(__xludf.DUMMYFUNCTION("""COMPUTED_VALUE"""),10)</f>
        <v>10</v>
      </c>
      <c r="G392" s="18">
        <f ca="1">IFERROR(__xludf.DUMMYFUNCTION("""COMPUTED_VALUE"""),75)</f>
        <v>75</v>
      </c>
      <c r="H392" s="18">
        <f ca="1">IFERROR(__xludf.DUMMYFUNCTION("""COMPUTED_VALUE"""),0)</f>
        <v>0</v>
      </c>
      <c r="I392" s="19">
        <f ca="1">IFERROR(__xludf.DUMMYFUNCTION("""COMPUTED_VALUE"""),70)</f>
        <v>70</v>
      </c>
      <c r="J392" s="19">
        <f ca="1">IFERROR(__xludf.DUMMYFUNCTION("""COMPUTED_VALUE"""),0)</f>
        <v>0</v>
      </c>
      <c r="K392" s="20">
        <f ca="1">IFERROR(__xludf.DUMMYFUNCTION("""COMPUTED_VALUE"""),100)</f>
        <v>100</v>
      </c>
      <c r="L392" s="20">
        <f ca="1">IFERROR(__xludf.DUMMYFUNCTION("""COMPUTED_VALUE"""),5)</f>
        <v>5</v>
      </c>
      <c r="M392" s="21">
        <f ca="1">IFERROR(__xludf.DUMMYFUNCTION("""COMPUTED_VALUE"""),70)</f>
        <v>70</v>
      </c>
      <c r="N392" s="21">
        <f ca="1">IFERROR(__xludf.DUMMYFUNCTION("""COMPUTED_VALUE"""),0)</f>
        <v>0</v>
      </c>
      <c r="O392" s="22">
        <f ca="1">IFERROR(__xludf.DUMMYFUNCTION("""COMPUTED_VALUE"""),95)</f>
        <v>95</v>
      </c>
      <c r="P392" s="22">
        <f ca="1">IFERROR(__xludf.DUMMYFUNCTION("""COMPUTED_VALUE"""),0)</f>
        <v>0</v>
      </c>
      <c r="Q392" s="23">
        <f ca="1">IFERROR(__xludf.DUMMYFUNCTION("""COMPUTED_VALUE"""),485)</f>
        <v>485</v>
      </c>
      <c r="R392" s="23">
        <f ca="1">IFERROR(__xludf.DUMMYFUNCTION("""COMPUTED_VALUE"""),15)</f>
        <v>15</v>
      </c>
      <c r="S392" s="24" t="str">
        <f ca="1">IFERROR(__xludf.DUMMYFUNCTION("""COMPUTED_VALUE"""),"Synchronize")</f>
        <v>Synchronize</v>
      </c>
      <c r="T392" s="24" t="str">
        <f ca="1">IFERROR(__xludf.DUMMYFUNCTION("""COMPUTED_VALUE"""),"Early Bird")</f>
        <v>Early Bird</v>
      </c>
      <c r="U392" s="24" t="str">
        <f ca="1">IFERROR(__xludf.DUMMYFUNCTION("""COMPUTED_VALUE"""),"Magic Bounce")</f>
        <v>Magic Bounce</v>
      </c>
      <c r="V392" s="25" t="str">
        <f ca="1">IFERROR(__xludf.DUMMYFUNCTION("""COMPUTED_VALUE"""),"Lv. 25")</f>
        <v>Lv. 25</v>
      </c>
      <c r="W392" s="25"/>
      <c r="X392" s="25"/>
      <c r="Y392" s="25" t="str">
        <f ca="1">IFERROR(__xludf.DUMMYFUNCTION("""COMPUTED_VALUE"""),"The Nyx Trails (wild)")</f>
        <v>The Nyx Trails (wild)</v>
      </c>
    </row>
    <row r="393" spans="1:25" x14ac:dyDescent="0.25">
      <c r="A393" s="15" t="str">
        <f ca="1">IFERROR(__xludf.DUMMYFUNCTION("""COMPUTED_VALUE"""),"Snover")</f>
        <v>Snover</v>
      </c>
      <c r="B393" s="16">
        <f ca="1">IFERROR(__xludf.DUMMYFUNCTION("""COMPUTED_VALUE"""),392)</f>
        <v>392</v>
      </c>
      <c r="C393" s="3" t="str">
        <f ca="1">IFERROR(__xludf.DUMMYFUNCTION("""COMPUTED_VALUE"""),"Grass")</f>
        <v>Grass</v>
      </c>
      <c r="D393" s="3" t="str">
        <f ca="1">IFERROR(__xludf.DUMMYFUNCTION("""COMPUTED_VALUE"""),"Ice")</f>
        <v>Ice</v>
      </c>
      <c r="E393" s="17">
        <f ca="1">IFERROR(__xludf.DUMMYFUNCTION("""COMPUTED_VALUE"""),60)</f>
        <v>60</v>
      </c>
      <c r="F393" s="17">
        <f ca="1">IFERROR(__xludf.DUMMYFUNCTION("""COMPUTED_VALUE"""),0)</f>
        <v>0</v>
      </c>
      <c r="G393" s="18">
        <f ca="1">IFERROR(__xludf.DUMMYFUNCTION("""COMPUTED_VALUE"""),62)</f>
        <v>62</v>
      </c>
      <c r="H393" s="18">
        <f ca="1">IFERROR(__xludf.DUMMYFUNCTION("""COMPUTED_VALUE"""),0)</f>
        <v>0</v>
      </c>
      <c r="I393" s="19">
        <f ca="1">IFERROR(__xludf.DUMMYFUNCTION("""COMPUTED_VALUE"""),50)</f>
        <v>50</v>
      </c>
      <c r="J393" s="19">
        <f ca="1">IFERROR(__xludf.DUMMYFUNCTION("""COMPUTED_VALUE"""),0)</f>
        <v>0</v>
      </c>
      <c r="K393" s="20">
        <f ca="1">IFERROR(__xludf.DUMMYFUNCTION("""COMPUTED_VALUE"""),62)</f>
        <v>62</v>
      </c>
      <c r="L393" s="20">
        <f ca="1">IFERROR(__xludf.DUMMYFUNCTION("""COMPUTED_VALUE"""),0)</f>
        <v>0</v>
      </c>
      <c r="M393" s="21">
        <f ca="1">IFERROR(__xludf.DUMMYFUNCTION("""COMPUTED_VALUE"""),60)</f>
        <v>60</v>
      </c>
      <c r="N393" s="21">
        <f ca="1">IFERROR(__xludf.DUMMYFUNCTION("""COMPUTED_VALUE"""),0)</f>
        <v>0</v>
      </c>
      <c r="O393" s="22">
        <f ca="1">IFERROR(__xludf.DUMMYFUNCTION("""COMPUTED_VALUE"""),40)</f>
        <v>40</v>
      </c>
      <c r="P393" s="22">
        <f ca="1">IFERROR(__xludf.DUMMYFUNCTION("""COMPUTED_VALUE"""),0)</f>
        <v>0</v>
      </c>
      <c r="Q393" s="23">
        <f ca="1">IFERROR(__xludf.DUMMYFUNCTION("""COMPUTED_VALUE"""),334)</f>
        <v>334</v>
      </c>
      <c r="R393" s="23">
        <f ca="1">IFERROR(__xludf.DUMMYFUNCTION("""COMPUTED_VALUE"""),0)</f>
        <v>0</v>
      </c>
      <c r="S393" s="24" t="str">
        <f ca="1">IFERROR(__xludf.DUMMYFUNCTION("""COMPUTED_VALUE"""),"Snow Warning")</f>
        <v>Snow Warning</v>
      </c>
      <c r="T393" s="25"/>
      <c r="U393" s="24" t="str">
        <f ca="1">IFERROR(__xludf.DUMMYFUNCTION("""COMPUTED_VALUE"""),"Long Reach")</f>
        <v>Long Reach</v>
      </c>
      <c r="V393" s="25"/>
      <c r="W393" s="25"/>
      <c r="X393" s="25" t="str">
        <f ca="1">IFERROR(__xludf.DUMMYFUNCTION("""COMPUTED_VALUE"""),"Never-Melt Ice")</f>
        <v>Never-Melt Ice</v>
      </c>
      <c r="Y393" s="25" t="str">
        <f ca="1">IFERROR(__xludf.DUMMYFUNCTION("""COMPUTED_VALUE"""),"Acrisia Mountains Peak, The Nyx Trails (wild)")</f>
        <v>Acrisia Mountains Peak, The Nyx Trails (wild)</v>
      </c>
    </row>
    <row r="394" spans="1:25" x14ac:dyDescent="0.25">
      <c r="A394" s="15" t="str">
        <f ca="1">IFERROR(__xludf.DUMMYFUNCTION("""COMPUTED_VALUE"""),"Abomasnow")</f>
        <v>Abomasnow</v>
      </c>
      <c r="B394" s="16">
        <f ca="1">IFERROR(__xludf.DUMMYFUNCTION("""COMPUTED_VALUE"""),393)</f>
        <v>393</v>
      </c>
      <c r="C394" s="3" t="str">
        <f ca="1">IFERROR(__xludf.DUMMYFUNCTION("""COMPUTED_VALUE"""),"Grass")</f>
        <v>Grass</v>
      </c>
      <c r="D394" s="3" t="str">
        <f ca="1">IFERROR(__xludf.DUMMYFUNCTION("""COMPUTED_VALUE"""),"Ice")</f>
        <v>Ice</v>
      </c>
      <c r="E394" s="17">
        <f ca="1">IFERROR(__xludf.DUMMYFUNCTION("""COMPUTED_VALUE"""),100)</f>
        <v>100</v>
      </c>
      <c r="F394" s="17">
        <f ca="1">IFERROR(__xludf.DUMMYFUNCTION("""COMPUTED_VALUE"""),10)</f>
        <v>10</v>
      </c>
      <c r="G394" s="18">
        <f ca="1">IFERROR(__xludf.DUMMYFUNCTION("""COMPUTED_VALUE"""),102)</f>
        <v>102</v>
      </c>
      <c r="H394" s="18">
        <f ca="1">IFERROR(__xludf.DUMMYFUNCTION("""COMPUTED_VALUE"""),10)</f>
        <v>10</v>
      </c>
      <c r="I394" s="19">
        <f ca="1">IFERROR(__xludf.DUMMYFUNCTION("""COMPUTED_VALUE"""),75)</f>
        <v>75</v>
      </c>
      <c r="J394" s="19">
        <f ca="1">IFERROR(__xludf.DUMMYFUNCTION("""COMPUTED_VALUE"""),0)</f>
        <v>0</v>
      </c>
      <c r="K394" s="20">
        <f ca="1">IFERROR(__xludf.DUMMYFUNCTION("""COMPUTED_VALUE"""),102)</f>
        <v>102</v>
      </c>
      <c r="L394" s="20">
        <f ca="1">IFERROR(__xludf.DUMMYFUNCTION("""COMPUTED_VALUE"""),10)</f>
        <v>10</v>
      </c>
      <c r="M394" s="21">
        <f ca="1">IFERROR(__xludf.DUMMYFUNCTION("""COMPUTED_VALUE"""),85)</f>
        <v>85</v>
      </c>
      <c r="N394" s="21">
        <f ca="1">IFERROR(__xludf.DUMMYFUNCTION("""COMPUTED_VALUE"""),0)</f>
        <v>0</v>
      </c>
      <c r="O394" s="22">
        <f ca="1">IFERROR(__xludf.DUMMYFUNCTION("""COMPUTED_VALUE"""),60)</f>
        <v>60</v>
      </c>
      <c r="P394" s="22">
        <f ca="1">IFERROR(__xludf.DUMMYFUNCTION("""COMPUTED_VALUE"""),0)</f>
        <v>0</v>
      </c>
      <c r="Q394" s="23">
        <f ca="1">IFERROR(__xludf.DUMMYFUNCTION("""COMPUTED_VALUE"""),524)</f>
        <v>524</v>
      </c>
      <c r="R394" s="23">
        <f ca="1">IFERROR(__xludf.DUMMYFUNCTION("""COMPUTED_VALUE"""),30)</f>
        <v>30</v>
      </c>
      <c r="S394" s="24" t="str">
        <f ca="1">IFERROR(__xludf.DUMMYFUNCTION("""COMPUTED_VALUE"""),"Snow Warning")</f>
        <v>Snow Warning</v>
      </c>
      <c r="T394" s="25"/>
      <c r="U394" s="24" t="str">
        <f ca="1">IFERROR(__xludf.DUMMYFUNCTION("""COMPUTED_VALUE"""),"Long Reach")</f>
        <v>Long Reach</v>
      </c>
      <c r="V394" s="25" t="str">
        <f ca="1">IFERROR(__xludf.DUMMYFUNCTION("""COMPUTED_VALUE"""),"Lv. 36")</f>
        <v>Lv. 36</v>
      </c>
      <c r="W394" s="25"/>
      <c r="X394" s="25" t="str">
        <f ca="1">IFERROR(__xludf.DUMMYFUNCTION("""COMPUTED_VALUE"""),"Never-Melt Ice")</f>
        <v>Never-Melt Ice</v>
      </c>
      <c r="Y394" s="25" t="str">
        <f ca="1">IFERROR(__xludf.DUMMYFUNCTION("""COMPUTED_VALUE"""),"The Nyx Trails (wild)")</f>
        <v>The Nyx Trails (wild)</v>
      </c>
    </row>
    <row r="395" spans="1:25" x14ac:dyDescent="0.25">
      <c r="A395" s="15" t="str">
        <f ca="1">IFERROR(__xludf.DUMMYFUNCTION("""COMPUTED_VALUE"""),"Duskull")</f>
        <v>Duskull</v>
      </c>
      <c r="B395" s="16">
        <f ca="1">IFERROR(__xludf.DUMMYFUNCTION("""COMPUTED_VALUE"""),394)</f>
        <v>394</v>
      </c>
      <c r="C395" s="3" t="str">
        <f ca="1">IFERROR(__xludf.DUMMYFUNCTION("""COMPUTED_VALUE"""),"Ghost")</f>
        <v>Ghost</v>
      </c>
      <c r="D395" s="3"/>
      <c r="E395" s="17">
        <f ca="1">IFERROR(__xludf.DUMMYFUNCTION("""COMPUTED_VALUE"""),20)</f>
        <v>20</v>
      </c>
      <c r="F395" s="17">
        <f ca="1">IFERROR(__xludf.DUMMYFUNCTION("""COMPUTED_VALUE"""),0)</f>
        <v>0</v>
      </c>
      <c r="G395" s="18">
        <f ca="1">IFERROR(__xludf.DUMMYFUNCTION("""COMPUTED_VALUE"""),40)</f>
        <v>40</v>
      </c>
      <c r="H395" s="18">
        <f ca="1">IFERROR(__xludf.DUMMYFUNCTION("""COMPUTED_VALUE"""),0)</f>
        <v>0</v>
      </c>
      <c r="I395" s="19">
        <f ca="1">IFERROR(__xludf.DUMMYFUNCTION("""COMPUTED_VALUE"""),90)</f>
        <v>90</v>
      </c>
      <c r="J395" s="19">
        <f ca="1">IFERROR(__xludf.DUMMYFUNCTION("""COMPUTED_VALUE"""),0)</f>
        <v>0</v>
      </c>
      <c r="K395" s="20">
        <f ca="1">IFERROR(__xludf.DUMMYFUNCTION("""COMPUTED_VALUE"""),30)</f>
        <v>30</v>
      </c>
      <c r="L395" s="20">
        <f ca="1">IFERROR(__xludf.DUMMYFUNCTION("""COMPUTED_VALUE"""),0)</f>
        <v>0</v>
      </c>
      <c r="M395" s="21">
        <f ca="1">IFERROR(__xludf.DUMMYFUNCTION("""COMPUTED_VALUE"""),90)</f>
        <v>90</v>
      </c>
      <c r="N395" s="21">
        <f ca="1">IFERROR(__xludf.DUMMYFUNCTION("""COMPUTED_VALUE"""),0)</f>
        <v>0</v>
      </c>
      <c r="O395" s="22">
        <f ca="1">IFERROR(__xludf.DUMMYFUNCTION("""COMPUTED_VALUE"""),25)</f>
        <v>25</v>
      </c>
      <c r="P395" s="22">
        <f ca="1">IFERROR(__xludf.DUMMYFUNCTION("""COMPUTED_VALUE"""),0)</f>
        <v>0</v>
      </c>
      <c r="Q395" s="23">
        <f ca="1">IFERROR(__xludf.DUMMYFUNCTION("""COMPUTED_VALUE"""),295)</f>
        <v>295</v>
      </c>
      <c r="R395" s="23">
        <f ca="1">IFERROR(__xludf.DUMMYFUNCTION("""COMPUTED_VALUE"""),0)</f>
        <v>0</v>
      </c>
      <c r="S395" s="24" t="str">
        <f ca="1">IFERROR(__xludf.DUMMYFUNCTION("""COMPUTED_VALUE"""),"Levitate")</f>
        <v>Levitate</v>
      </c>
      <c r="T395" s="25"/>
      <c r="U395" s="24" t="str">
        <f ca="1">IFERROR(__xludf.DUMMYFUNCTION("""COMPUTED_VALUE"""),"Frisk")</f>
        <v>Frisk</v>
      </c>
      <c r="V395" s="25"/>
      <c r="W395" s="25"/>
      <c r="X395" s="25" t="str">
        <f ca="1">IFERROR(__xludf.DUMMYFUNCTION("""COMPUTED_VALUE"""),"Spell Tag")</f>
        <v>Spell Tag</v>
      </c>
      <c r="Y395" s="25" t="str">
        <f ca="1">IFERROR(__xludf.DUMMYFUNCTION("""COMPUTED_VALUE"""),"Pythios Cemetery, The Nyx Trails (wild)")</f>
        <v>Pythios Cemetery, The Nyx Trails (wild)</v>
      </c>
    </row>
    <row r="396" spans="1:25" x14ac:dyDescent="0.25">
      <c r="A396" s="15" t="str">
        <f ca="1">IFERROR(__xludf.DUMMYFUNCTION("""COMPUTED_VALUE"""),"Dusclops")</f>
        <v>Dusclops</v>
      </c>
      <c r="B396" s="16">
        <f ca="1">IFERROR(__xludf.DUMMYFUNCTION("""COMPUTED_VALUE"""),395)</f>
        <v>395</v>
      </c>
      <c r="C396" s="3" t="str">
        <f ca="1">IFERROR(__xludf.DUMMYFUNCTION("""COMPUTED_VALUE"""),"Ghost")</f>
        <v>Ghost</v>
      </c>
      <c r="D396" s="3"/>
      <c r="E396" s="17">
        <f ca="1">IFERROR(__xludf.DUMMYFUNCTION("""COMPUTED_VALUE"""),50)</f>
        <v>50</v>
      </c>
      <c r="F396" s="17">
        <f ca="1">IFERROR(__xludf.DUMMYFUNCTION("""COMPUTED_VALUE"""),10)</f>
        <v>10</v>
      </c>
      <c r="G396" s="18">
        <f ca="1">IFERROR(__xludf.DUMMYFUNCTION("""COMPUTED_VALUE"""),70)</f>
        <v>70</v>
      </c>
      <c r="H396" s="18">
        <f ca="1">IFERROR(__xludf.DUMMYFUNCTION("""COMPUTED_VALUE"""),0)</f>
        <v>0</v>
      </c>
      <c r="I396" s="19">
        <f ca="1">IFERROR(__xludf.DUMMYFUNCTION("""COMPUTED_VALUE"""),130)</f>
        <v>130</v>
      </c>
      <c r="J396" s="19">
        <f ca="1">IFERROR(__xludf.DUMMYFUNCTION("""COMPUTED_VALUE"""),0)</f>
        <v>0</v>
      </c>
      <c r="K396" s="20">
        <f ca="1">IFERROR(__xludf.DUMMYFUNCTION("""COMPUTED_VALUE"""),60)</f>
        <v>60</v>
      </c>
      <c r="L396" s="20">
        <f ca="1">IFERROR(__xludf.DUMMYFUNCTION("""COMPUTED_VALUE"""),0)</f>
        <v>0</v>
      </c>
      <c r="M396" s="21">
        <f ca="1">IFERROR(__xludf.DUMMYFUNCTION("""COMPUTED_VALUE"""),130)</f>
        <v>130</v>
      </c>
      <c r="N396" s="21">
        <f ca="1">IFERROR(__xludf.DUMMYFUNCTION("""COMPUTED_VALUE"""),0)</f>
        <v>0</v>
      </c>
      <c r="O396" s="22">
        <f ca="1">IFERROR(__xludf.DUMMYFUNCTION("""COMPUTED_VALUE"""),25)</f>
        <v>25</v>
      </c>
      <c r="P396" s="22">
        <f ca="1">IFERROR(__xludf.DUMMYFUNCTION("""COMPUTED_VALUE"""),0)</f>
        <v>0</v>
      </c>
      <c r="Q396" s="23">
        <f ca="1">IFERROR(__xludf.DUMMYFUNCTION("""COMPUTED_VALUE"""),465)</f>
        <v>465</v>
      </c>
      <c r="R396" s="23">
        <f ca="1">IFERROR(__xludf.DUMMYFUNCTION("""COMPUTED_VALUE"""),10)</f>
        <v>10</v>
      </c>
      <c r="S396" s="24" t="str">
        <f ca="1">IFERROR(__xludf.DUMMYFUNCTION("""COMPUTED_VALUE"""),"Pressure")</f>
        <v>Pressure</v>
      </c>
      <c r="T396" s="25"/>
      <c r="U396" s="24" t="str">
        <f ca="1">IFERROR(__xludf.DUMMYFUNCTION("""COMPUTED_VALUE"""),"Frisk")</f>
        <v>Frisk</v>
      </c>
      <c r="V396" s="25" t="str">
        <f ca="1">IFERROR(__xludf.DUMMYFUNCTION("""COMPUTED_VALUE"""),"Lv. 30")</f>
        <v>Lv. 30</v>
      </c>
      <c r="W396" s="25"/>
      <c r="X396" s="25" t="str">
        <f ca="1">IFERROR(__xludf.DUMMYFUNCTION("""COMPUTED_VALUE"""),"Spell Tag")</f>
        <v>Spell Tag</v>
      </c>
      <c r="Y396" s="25" t="str">
        <f ca="1">IFERROR(__xludf.DUMMYFUNCTION("""COMPUTED_VALUE"""),"The Nyx Trails (wild)")</f>
        <v>The Nyx Trails (wild)</v>
      </c>
    </row>
    <row r="397" spans="1:25" x14ac:dyDescent="0.25">
      <c r="A397" s="15" t="str">
        <f ca="1">IFERROR(__xludf.DUMMYFUNCTION("""COMPUTED_VALUE"""),"Dusknoir")</f>
        <v>Dusknoir</v>
      </c>
      <c r="B397" s="16">
        <f ca="1">IFERROR(__xludf.DUMMYFUNCTION("""COMPUTED_VALUE"""),396)</f>
        <v>396</v>
      </c>
      <c r="C397" s="3" t="str">
        <f ca="1">IFERROR(__xludf.DUMMYFUNCTION("""COMPUTED_VALUE"""),"Ghost")</f>
        <v>Ghost</v>
      </c>
      <c r="D397" s="3"/>
      <c r="E397" s="17">
        <f ca="1">IFERROR(__xludf.DUMMYFUNCTION("""COMPUTED_VALUE"""),60)</f>
        <v>60</v>
      </c>
      <c r="F397" s="17">
        <f ca="1">IFERROR(__xludf.DUMMYFUNCTION("""COMPUTED_VALUE"""),15)</f>
        <v>15</v>
      </c>
      <c r="G397" s="18">
        <f ca="1">IFERROR(__xludf.DUMMYFUNCTION("""COMPUTED_VALUE"""),100)</f>
        <v>100</v>
      </c>
      <c r="H397" s="18">
        <f ca="1">IFERROR(__xludf.DUMMYFUNCTION("""COMPUTED_VALUE"""),0)</f>
        <v>0</v>
      </c>
      <c r="I397" s="19">
        <f ca="1">IFERROR(__xludf.DUMMYFUNCTION("""COMPUTED_VALUE"""),135)</f>
        <v>135</v>
      </c>
      <c r="J397" s="19">
        <f ca="1">IFERROR(__xludf.DUMMYFUNCTION("""COMPUTED_VALUE"""),0)</f>
        <v>0</v>
      </c>
      <c r="K397" s="20">
        <f ca="1">IFERROR(__xludf.DUMMYFUNCTION("""COMPUTED_VALUE"""),65)</f>
        <v>65</v>
      </c>
      <c r="L397" s="20">
        <f ca="1">IFERROR(__xludf.DUMMYFUNCTION("""COMPUTED_VALUE"""),0)</f>
        <v>0</v>
      </c>
      <c r="M397" s="21">
        <f ca="1">IFERROR(__xludf.DUMMYFUNCTION("""COMPUTED_VALUE"""),135)</f>
        <v>135</v>
      </c>
      <c r="N397" s="21">
        <f ca="1">IFERROR(__xludf.DUMMYFUNCTION("""COMPUTED_VALUE"""),0)</f>
        <v>0</v>
      </c>
      <c r="O397" s="22">
        <f ca="1">IFERROR(__xludf.DUMMYFUNCTION("""COMPUTED_VALUE"""),45)</f>
        <v>45</v>
      </c>
      <c r="P397" s="22">
        <f ca="1">IFERROR(__xludf.DUMMYFUNCTION("""COMPUTED_VALUE"""),0)</f>
        <v>0</v>
      </c>
      <c r="Q397" s="23">
        <f ca="1">IFERROR(__xludf.DUMMYFUNCTION("""COMPUTED_VALUE"""),540)</f>
        <v>540</v>
      </c>
      <c r="R397" s="23">
        <f ca="1">IFERROR(__xludf.DUMMYFUNCTION("""COMPUTED_VALUE"""),15)</f>
        <v>15</v>
      </c>
      <c r="S397" s="24" t="str">
        <f ca="1">IFERROR(__xludf.DUMMYFUNCTION("""COMPUTED_VALUE"""),"Pressure")</f>
        <v>Pressure</v>
      </c>
      <c r="T397" s="25"/>
      <c r="U397" s="24" t="str">
        <f ca="1">IFERROR(__xludf.DUMMYFUNCTION("""COMPUTED_VALUE"""),"Frisk")</f>
        <v>Frisk</v>
      </c>
      <c r="V397" s="25" t="str">
        <f ca="1">IFERROR(__xludf.DUMMYFUNCTION("""COMPUTED_VALUE"""),"Reaper Cloth")</f>
        <v>Reaper Cloth</v>
      </c>
      <c r="W397" s="25"/>
      <c r="X397" s="25" t="str">
        <f ca="1">IFERROR(__xludf.DUMMYFUNCTION("""COMPUTED_VALUE"""),"Spell Tag")</f>
        <v>Spell Tag</v>
      </c>
      <c r="Y397" s="25" t="str">
        <f ca="1">IFERROR(__xludf.DUMMYFUNCTION("""COMPUTED_VALUE"""),"Dusclops (evolve)")</f>
        <v>Dusclops (evolve)</v>
      </c>
    </row>
    <row r="398" spans="1:25" x14ac:dyDescent="0.25">
      <c r="A398" s="15" t="str">
        <f ca="1">IFERROR(__xludf.DUMMYFUNCTION("""COMPUTED_VALUE"""),"Swinub")</f>
        <v>Swinub</v>
      </c>
      <c r="B398" s="16">
        <f ca="1">IFERROR(__xludf.DUMMYFUNCTION("""COMPUTED_VALUE"""),397)</f>
        <v>397</v>
      </c>
      <c r="C398" s="3" t="str">
        <f ca="1">IFERROR(__xludf.DUMMYFUNCTION("""COMPUTED_VALUE"""),"Ice")</f>
        <v>Ice</v>
      </c>
      <c r="D398" s="3" t="str">
        <f ca="1">IFERROR(__xludf.DUMMYFUNCTION("""COMPUTED_VALUE"""),"Ground")</f>
        <v>Ground</v>
      </c>
      <c r="E398" s="17">
        <f ca="1">IFERROR(__xludf.DUMMYFUNCTION("""COMPUTED_VALUE"""),60)</f>
        <v>60</v>
      </c>
      <c r="F398" s="17">
        <f ca="1">IFERROR(__xludf.DUMMYFUNCTION("""COMPUTED_VALUE"""),10)</f>
        <v>10</v>
      </c>
      <c r="G398" s="18">
        <f ca="1">IFERROR(__xludf.DUMMYFUNCTION("""COMPUTED_VALUE"""),50)</f>
        <v>50</v>
      </c>
      <c r="H398" s="18">
        <f ca="1">IFERROR(__xludf.DUMMYFUNCTION("""COMPUTED_VALUE"""),0)</f>
        <v>0</v>
      </c>
      <c r="I398" s="19">
        <f ca="1">IFERROR(__xludf.DUMMYFUNCTION("""COMPUTED_VALUE"""),40)</f>
        <v>40</v>
      </c>
      <c r="J398" s="19">
        <f ca="1">IFERROR(__xludf.DUMMYFUNCTION("""COMPUTED_VALUE"""),0)</f>
        <v>0</v>
      </c>
      <c r="K398" s="20">
        <f ca="1">IFERROR(__xludf.DUMMYFUNCTION("""COMPUTED_VALUE"""),30)</f>
        <v>30</v>
      </c>
      <c r="L398" s="20">
        <f ca="1">IFERROR(__xludf.DUMMYFUNCTION("""COMPUTED_VALUE"""),0)</f>
        <v>0</v>
      </c>
      <c r="M398" s="21">
        <f ca="1">IFERROR(__xludf.DUMMYFUNCTION("""COMPUTED_VALUE"""),30)</f>
        <v>30</v>
      </c>
      <c r="N398" s="21">
        <f ca="1">IFERROR(__xludf.DUMMYFUNCTION("""COMPUTED_VALUE"""),0)</f>
        <v>0</v>
      </c>
      <c r="O398" s="22">
        <f ca="1">IFERROR(__xludf.DUMMYFUNCTION("""COMPUTED_VALUE"""),50)</f>
        <v>50</v>
      </c>
      <c r="P398" s="22">
        <f ca="1">IFERROR(__xludf.DUMMYFUNCTION("""COMPUTED_VALUE"""),0)</f>
        <v>0</v>
      </c>
      <c r="Q398" s="23">
        <f ca="1">IFERROR(__xludf.DUMMYFUNCTION("""COMPUTED_VALUE"""),260)</f>
        <v>260</v>
      </c>
      <c r="R398" s="23">
        <f ca="1">IFERROR(__xludf.DUMMYFUNCTION("""COMPUTED_VALUE"""),10)</f>
        <v>10</v>
      </c>
      <c r="S398" s="24" t="str">
        <f ca="1">IFERROR(__xludf.DUMMYFUNCTION("""COMPUTED_VALUE"""),"Oblivious")</f>
        <v>Oblivious</v>
      </c>
      <c r="T398" s="24" t="str">
        <f ca="1">IFERROR(__xludf.DUMMYFUNCTION("""COMPUTED_VALUE"""),"Thick Layers")</f>
        <v>Thick Layers</v>
      </c>
      <c r="U398" s="24" t="str">
        <f ca="1">IFERROR(__xludf.DUMMYFUNCTION("""COMPUTED_VALUE"""),"Fur Coat")</f>
        <v>Fur Coat</v>
      </c>
      <c r="V398" s="25"/>
      <c r="W398" s="25"/>
      <c r="X398" s="25"/>
      <c r="Y398" s="25" t="str">
        <f ca="1">IFERROR(__xludf.DUMMYFUNCTION("""COMPUTED_VALUE"""),"Froslass Cavern (wild)")</f>
        <v>Froslass Cavern (wild)</v>
      </c>
    </row>
    <row r="399" spans="1:25" x14ac:dyDescent="0.25">
      <c r="A399" s="15" t="str">
        <f ca="1">IFERROR(__xludf.DUMMYFUNCTION("""COMPUTED_VALUE"""),"Piloswine")</f>
        <v>Piloswine</v>
      </c>
      <c r="B399" s="16">
        <f ca="1">IFERROR(__xludf.DUMMYFUNCTION("""COMPUTED_VALUE"""),398)</f>
        <v>398</v>
      </c>
      <c r="C399" s="3" t="str">
        <f ca="1">IFERROR(__xludf.DUMMYFUNCTION("""COMPUTED_VALUE"""),"Ice")</f>
        <v>Ice</v>
      </c>
      <c r="D399" s="3" t="str">
        <f ca="1">IFERROR(__xludf.DUMMYFUNCTION("""COMPUTED_VALUE"""),"Ground")</f>
        <v>Ground</v>
      </c>
      <c r="E399" s="17">
        <f ca="1">IFERROR(__xludf.DUMMYFUNCTION("""COMPUTED_VALUE"""),110)</f>
        <v>110</v>
      </c>
      <c r="F399" s="17">
        <f ca="1">IFERROR(__xludf.DUMMYFUNCTION("""COMPUTED_VALUE"""),10)</f>
        <v>10</v>
      </c>
      <c r="G399" s="18">
        <f ca="1">IFERROR(__xludf.DUMMYFUNCTION("""COMPUTED_VALUE"""),100)</f>
        <v>100</v>
      </c>
      <c r="H399" s="18">
        <f ca="1">IFERROR(__xludf.DUMMYFUNCTION("""COMPUTED_VALUE"""),0)</f>
        <v>0</v>
      </c>
      <c r="I399" s="19">
        <f ca="1">IFERROR(__xludf.DUMMYFUNCTION("""COMPUTED_VALUE"""),80)</f>
        <v>80</v>
      </c>
      <c r="J399" s="19">
        <f ca="1">IFERROR(__xludf.DUMMYFUNCTION("""COMPUTED_VALUE"""),0)</f>
        <v>0</v>
      </c>
      <c r="K399" s="20">
        <f ca="1">IFERROR(__xludf.DUMMYFUNCTION("""COMPUTED_VALUE"""),60)</f>
        <v>60</v>
      </c>
      <c r="L399" s="20">
        <f ca="1">IFERROR(__xludf.DUMMYFUNCTION("""COMPUTED_VALUE"""),0)</f>
        <v>0</v>
      </c>
      <c r="M399" s="21">
        <f ca="1">IFERROR(__xludf.DUMMYFUNCTION("""COMPUTED_VALUE"""),60)</f>
        <v>60</v>
      </c>
      <c r="N399" s="21">
        <f ca="1">IFERROR(__xludf.DUMMYFUNCTION("""COMPUTED_VALUE"""),0)</f>
        <v>0</v>
      </c>
      <c r="O399" s="22">
        <f ca="1">IFERROR(__xludf.DUMMYFUNCTION("""COMPUTED_VALUE"""),50)</f>
        <v>50</v>
      </c>
      <c r="P399" s="22">
        <f ca="1">IFERROR(__xludf.DUMMYFUNCTION("""COMPUTED_VALUE"""),0)</f>
        <v>0</v>
      </c>
      <c r="Q399" s="23">
        <f ca="1">IFERROR(__xludf.DUMMYFUNCTION("""COMPUTED_VALUE"""),460)</f>
        <v>460</v>
      </c>
      <c r="R399" s="23">
        <f ca="1">IFERROR(__xludf.DUMMYFUNCTION("""COMPUTED_VALUE"""),10)</f>
        <v>10</v>
      </c>
      <c r="S399" s="24" t="str">
        <f ca="1">IFERROR(__xludf.DUMMYFUNCTION("""COMPUTED_VALUE"""),"Oblivious")</f>
        <v>Oblivious</v>
      </c>
      <c r="T399" s="24" t="str">
        <f ca="1">IFERROR(__xludf.DUMMYFUNCTION("""COMPUTED_VALUE"""),"Thick Layers")</f>
        <v>Thick Layers</v>
      </c>
      <c r="U399" s="24" t="str">
        <f ca="1">IFERROR(__xludf.DUMMYFUNCTION("""COMPUTED_VALUE"""),"Fur Coat")</f>
        <v>Fur Coat</v>
      </c>
      <c r="V399" s="25" t="str">
        <f ca="1">IFERROR(__xludf.DUMMYFUNCTION("""COMPUTED_VALUE"""),"Lv. 28")</f>
        <v>Lv. 28</v>
      </c>
      <c r="W399" s="25"/>
      <c r="X399" s="25"/>
      <c r="Y399" s="25" t="str">
        <f ca="1">IFERROR(__xludf.DUMMYFUNCTION("""COMPUTED_VALUE"""),"Swinub (evolve)")</f>
        <v>Swinub (evolve)</v>
      </c>
    </row>
    <row r="400" spans="1:25" x14ac:dyDescent="0.25">
      <c r="A400" s="15" t="str">
        <f ca="1">IFERROR(__xludf.DUMMYFUNCTION("""COMPUTED_VALUE"""),"Mamoswine")</f>
        <v>Mamoswine</v>
      </c>
      <c r="B400" s="16">
        <f ca="1">IFERROR(__xludf.DUMMYFUNCTION("""COMPUTED_VALUE"""),399)</f>
        <v>399</v>
      </c>
      <c r="C400" s="3" t="str">
        <f ca="1">IFERROR(__xludf.DUMMYFUNCTION("""COMPUTED_VALUE"""),"Ice")</f>
        <v>Ice</v>
      </c>
      <c r="D400" s="3" t="str">
        <f ca="1">IFERROR(__xludf.DUMMYFUNCTION("""COMPUTED_VALUE"""),"Ground")</f>
        <v>Ground</v>
      </c>
      <c r="E400" s="17">
        <f ca="1">IFERROR(__xludf.DUMMYFUNCTION("""COMPUTED_VALUE"""),120)</f>
        <v>120</v>
      </c>
      <c r="F400" s="17">
        <f ca="1">IFERROR(__xludf.DUMMYFUNCTION("""COMPUTED_VALUE"""),10)</f>
        <v>10</v>
      </c>
      <c r="G400" s="18">
        <f ca="1">IFERROR(__xludf.DUMMYFUNCTION("""COMPUTED_VALUE"""),130)</f>
        <v>130</v>
      </c>
      <c r="H400" s="18">
        <f ca="1">IFERROR(__xludf.DUMMYFUNCTION("""COMPUTED_VALUE"""),0)</f>
        <v>0</v>
      </c>
      <c r="I400" s="19">
        <f ca="1">IFERROR(__xludf.DUMMYFUNCTION("""COMPUTED_VALUE"""),85)</f>
        <v>85</v>
      </c>
      <c r="J400" s="19">
        <f ca="1">IFERROR(__xludf.DUMMYFUNCTION("""COMPUTED_VALUE"""),5)</f>
        <v>5</v>
      </c>
      <c r="K400" s="20">
        <f ca="1">IFERROR(__xludf.DUMMYFUNCTION("""COMPUTED_VALUE"""),70)</f>
        <v>70</v>
      </c>
      <c r="L400" s="20">
        <f ca="1">IFERROR(__xludf.DUMMYFUNCTION("""COMPUTED_VALUE"""),0)</f>
        <v>0</v>
      </c>
      <c r="M400" s="21">
        <f ca="1">IFERROR(__xludf.DUMMYFUNCTION("""COMPUTED_VALUE"""),70)</f>
        <v>70</v>
      </c>
      <c r="N400" s="21">
        <f ca="1">IFERROR(__xludf.DUMMYFUNCTION("""COMPUTED_VALUE"""),10)</f>
        <v>10</v>
      </c>
      <c r="O400" s="22">
        <f ca="1">IFERROR(__xludf.DUMMYFUNCTION("""COMPUTED_VALUE"""),80)</f>
        <v>80</v>
      </c>
      <c r="P400" s="22">
        <f ca="1">IFERROR(__xludf.DUMMYFUNCTION("""COMPUTED_VALUE"""),0)</f>
        <v>0</v>
      </c>
      <c r="Q400" s="23">
        <f ca="1">IFERROR(__xludf.DUMMYFUNCTION("""COMPUTED_VALUE"""),555)</f>
        <v>555</v>
      </c>
      <c r="R400" s="23">
        <f ca="1">IFERROR(__xludf.DUMMYFUNCTION("""COMPUTED_VALUE"""),25)</f>
        <v>25</v>
      </c>
      <c r="S400" s="24" t="str">
        <f ca="1">IFERROR(__xludf.DUMMYFUNCTION("""COMPUTED_VALUE"""),"Oblivious")</f>
        <v>Oblivious</v>
      </c>
      <c r="T400" s="24" t="str">
        <f ca="1">IFERROR(__xludf.DUMMYFUNCTION("""COMPUTED_VALUE"""),"Thick Layers")</f>
        <v>Thick Layers</v>
      </c>
      <c r="U400" s="24" t="str">
        <f ca="1">IFERROR(__xludf.DUMMYFUNCTION("""COMPUTED_VALUE"""),"Fur Coat")</f>
        <v>Fur Coat</v>
      </c>
      <c r="V400" s="25" t="str">
        <f ca="1">IFERROR(__xludf.DUMMYFUNCTION("""COMPUTED_VALUE"""),"Lv. knows Ancient Power")</f>
        <v>Lv. knows Ancient Power</v>
      </c>
      <c r="W400" s="25"/>
      <c r="X400" s="25"/>
      <c r="Y400" s="25" t="str">
        <f ca="1">IFERROR(__xludf.DUMMYFUNCTION("""COMPUTED_VALUE"""),"Piloswine (evolve)")</f>
        <v>Piloswine (evolve)</v>
      </c>
    </row>
    <row r="401" spans="1:25" x14ac:dyDescent="0.25">
      <c r="A401" s="15" t="str">
        <f ca="1">IFERROR(__xludf.DUMMYFUNCTION("""COMPUTED_VALUE"""),"Corphish")</f>
        <v>Corphish</v>
      </c>
      <c r="B401" s="16">
        <f ca="1">IFERROR(__xludf.DUMMYFUNCTION("""COMPUTED_VALUE"""),400)</f>
        <v>400</v>
      </c>
      <c r="C401" s="3" t="str">
        <f ca="1">IFERROR(__xludf.DUMMYFUNCTION("""COMPUTED_VALUE"""),"Water")</f>
        <v>Water</v>
      </c>
      <c r="D401" s="3"/>
      <c r="E401" s="17">
        <f ca="1">IFERROR(__xludf.DUMMYFUNCTION("""COMPUTED_VALUE"""),43)</f>
        <v>43</v>
      </c>
      <c r="F401" s="17">
        <f ca="1">IFERROR(__xludf.DUMMYFUNCTION("""COMPUTED_VALUE"""),0)</f>
        <v>0</v>
      </c>
      <c r="G401" s="18">
        <f ca="1">IFERROR(__xludf.DUMMYFUNCTION("""COMPUTED_VALUE"""),80)</f>
        <v>80</v>
      </c>
      <c r="H401" s="18">
        <f ca="1">IFERROR(__xludf.DUMMYFUNCTION("""COMPUTED_VALUE"""),0)</f>
        <v>0</v>
      </c>
      <c r="I401" s="19">
        <f ca="1">IFERROR(__xludf.DUMMYFUNCTION("""COMPUTED_VALUE"""),65)</f>
        <v>65</v>
      </c>
      <c r="J401" s="19">
        <f ca="1">IFERROR(__xludf.DUMMYFUNCTION("""COMPUTED_VALUE"""),0)</f>
        <v>0</v>
      </c>
      <c r="K401" s="20">
        <f ca="1">IFERROR(__xludf.DUMMYFUNCTION("""COMPUTED_VALUE"""),50)</f>
        <v>50</v>
      </c>
      <c r="L401" s="20">
        <f ca="1">IFERROR(__xludf.DUMMYFUNCTION("""COMPUTED_VALUE"""),0)</f>
        <v>0</v>
      </c>
      <c r="M401" s="21">
        <f ca="1">IFERROR(__xludf.DUMMYFUNCTION("""COMPUTED_VALUE"""),35)</f>
        <v>35</v>
      </c>
      <c r="N401" s="21">
        <f ca="1">IFERROR(__xludf.DUMMYFUNCTION("""COMPUTED_VALUE"""),0)</f>
        <v>0</v>
      </c>
      <c r="O401" s="22">
        <f ca="1">IFERROR(__xludf.DUMMYFUNCTION("""COMPUTED_VALUE"""),35)</f>
        <v>35</v>
      </c>
      <c r="P401" s="22">
        <f ca="1">IFERROR(__xludf.DUMMYFUNCTION("""COMPUTED_VALUE"""),0)</f>
        <v>0</v>
      </c>
      <c r="Q401" s="23">
        <f ca="1">IFERROR(__xludf.DUMMYFUNCTION("""COMPUTED_VALUE"""),308)</f>
        <v>308</v>
      </c>
      <c r="R401" s="23">
        <f ca="1">IFERROR(__xludf.DUMMYFUNCTION("""COMPUTED_VALUE"""),0)</f>
        <v>0</v>
      </c>
      <c r="S401" s="24" t="str">
        <f ca="1">IFERROR(__xludf.DUMMYFUNCTION("""COMPUTED_VALUE"""),"Hyper Cutter")</f>
        <v>Hyper Cutter</v>
      </c>
      <c r="T401" s="24" t="str">
        <f ca="1">IFERROR(__xludf.DUMMYFUNCTION("""COMPUTED_VALUE"""),"Shell Armor")</f>
        <v>Shell Armor</v>
      </c>
      <c r="U401" s="24" t="str">
        <f ca="1">IFERROR(__xludf.DUMMYFUNCTION("""COMPUTED_VALUE"""),"Adaptability")</f>
        <v>Adaptability</v>
      </c>
      <c r="V401" s="25"/>
      <c r="W401" s="25"/>
      <c r="X401" s="25"/>
      <c r="Y401" s="25" t="str">
        <f ca="1">IFERROR(__xludf.DUMMYFUNCTION("""COMPUTED_VALUE"""),"Pythios Town (OR)(fish)")</f>
        <v>Pythios Town (OR)(fish)</v>
      </c>
    </row>
    <row r="402" spans="1:25" x14ac:dyDescent="0.25">
      <c r="A402" s="15" t="str">
        <f ca="1">IFERROR(__xludf.DUMMYFUNCTION("""COMPUTED_VALUE"""),"Crawdaunt")</f>
        <v>Crawdaunt</v>
      </c>
      <c r="B402" s="16">
        <f ca="1">IFERROR(__xludf.DUMMYFUNCTION("""COMPUTED_VALUE"""),401)</f>
        <v>401</v>
      </c>
      <c r="C402" s="3" t="str">
        <f ca="1">IFERROR(__xludf.DUMMYFUNCTION("""COMPUTED_VALUE"""),"Water")</f>
        <v>Water</v>
      </c>
      <c r="D402" s="3" t="str">
        <f ca="1">IFERROR(__xludf.DUMMYFUNCTION("""COMPUTED_VALUE"""),"Dark")</f>
        <v>Dark</v>
      </c>
      <c r="E402" s="17">
        <f ca="1">IFERROR(__xludf.DUMMYFUNCTION("""COMPUTED_VALUE"""),63)</f>
        <v>63</v>
      </c>
      <c r="F402" s="17">
        <f ca="1">IFERROR(__xludf.DUMMYFUNCTION("""COMPUTED_VALUE"""),0)</f>
        <v>0</v>
      </c>
      <c r="G402" s="18">
        <f ca="1">IFERROR(__xludf.DUMMYFUNCTION("""COMPUTED_VALUE"""),120)</f>
        <v>120</v>
      </c>
      <c r="H402" s="18">
        <f ca="1">IFERROR(__xludf.DUMMYFUNCTION("""COMPUTED_VALUE"""),0)</f>
        <v>0</v>
      </c>
      <c r="I402" s="19">
        <f ca="1">IFERROR(__xludf.DUMMYFUNCTION("""COMPUTED_VALUE"""),100)</f>
        <v>100</v>
      </c>
      <c r="J402" s="19">
        <f ca="1">IFERROR(__xludf.DUMMYFUNCTION("""COMPUTED_VALUE"""),15)</f>
        <v>15</v>
      </c>
      <c r="K402" s="20">
        <f ca="1">IFERROR(__xludf.DUMMYFUNCTION("""COMPUTED_VALUE"""),70)</f>
        <v>70</v>
      </c>
      <c r="L402" s="20">
        <f ca="1">IFERROR(__xludf.DUMMYFUNCTION("""COMPUTED_VALUE"""),-20)</f>
        <v>-20</v>
      </c>
      <c r="M402" s="21">
        <f ca="1">IFERROR(__xludf.DUMMYFUNCTION("""COMPUTED_VALUE"""),65)</f>
        <v>65</v>
      </c>
      <c r="N402" s="21">
        <f ca="1">IFERROR(__xludf.DUMMYFUNCTION("""COMPUTED_VALUE"""),10)</f>
        <v>10</v>
      </c>
      <c r="O402" s="22">
        <f ca="1">IFERROR(__xludf.DUMMYFUNCTION("""COMPUTED_VALUE"""),55)</f>
        <v>55</v>
      </c>
      <c r="P402" s="22">
        <f ca="1">IFERROR(__xludf.DUMMYFUNCTION("""COMPUTED_VALUE"""),0)</f>
        <v>0</v>
      </c>
      <c r="Q402" s="23">
        <f ca="1">IFERROR(__xludf.DUMMYFUNCTION("""COMPUTED_VALUE"""),473)</f>
        <v>473</v>
      </c>
      <c r="R402" s="23">
        <f ca="1">IFERROR(__xludf.DUMMYFUNCTION("""COMPUTED_VALUE"""),5)</f>
        <v>5</v>
      </c>
      <c r="S402" s="24" t="str">
        <f ca="1">IFERROR(__xludf.DUMMYFUNCTION("""COMPUTED_VALUE"""),"Hyper Cutter")</f>
        <v>Hyper Cutter</v>
      </c>
      <c r="T402" s="24" t="str">
        <f ca="1">IFERROR(__xludf.DUMMYFUNCTION("""COMPUTED_VALUE"""),"Shell Armor")</f>
        <v>Shell Armor</v>
      </c>
      <c r="U402" s="24" t="str">
        <f ca="1">IFERROR(__xludf.DUMMYFUNCTION("""COMPUTED_VALUE"""),"Adaptability")</f>
        <v>Adaptability</v>
      </c>
      <c r="V402" s="25" t="str">
        <f ca="1">IFERROR(__xludf.DUMMYFUNCTION("""COMPUTED_VALUE"""),"Lv. 30")</f>
        <v>Lv. 30</v>
      </c>
      <c r="W402" s="25"/>
      <c r="X402" s="25"/>
      <c r="Y402" s="25" t="str">
        <f ca="1">IFERROR(__xludf.DUMMYFUNCTION("""COMPUTED_VALUE"""),"Corphish (evolve)")</f>
        <v>Corphish (evolve)</v>
      </c>
    </row>
    <row r="403" spans="1:25" x14ac:dyDescent="0.25">
      <c r="A403" s="15" t="str">
        <f ca="1">IFERROR(__xludf.DUMMYFUNCTION("""COMPUTED_VALUE"""),"Comfey")</f>
        <v>Comfey</v>
      </c>
      <c r="B403" s="16">
        <f ca="1">IFERROR(__xludf.DUMMYFUNCTION("""COMPUTED_VALUE"""),402)</f>
        <v>402</v>
      </c>
      <c r="C403" s="3" t="str">
        <f ca="1">IFERROR(__xludf.DUMMYFUNCTION("""COMPUTED_VALUE"""),"Fairy")</f>
        <v>Fairy</v>
      </c>
      <c r="D403" s="3" t="str">
        <f ca="1">IFERROR(__xludf.DUMMYFUNCTION("""COMPUTED_VALUE"""),"Grass")</f>
        <v>Grass</v>
      </c>
      <c r="E403" s="17">
        <f ca="1">IFERROR(__xludf.DUMMYFUNCTION("""COMPUTED_VALUE"""),51)</f>
        <v>51</v>
      </c>
      <c r="F403" s="17">
        <f ca="1">IFERROR(__xludf.DUMMYFUNCTION("""COMPUTED_VALUE"""),0)</f>
        <v>0</v>
      </c>
      <c r="G403" s="18">
        <f ca="1">IFERROR(__xludf.DUMMYFUNCTION("""COMPUTED_VALUE"""),52)</f>
        <v>52</v>
      </c>
      <c r="H403" s="18">
        <f ca="1">IFERROR(__xludf.DUMMYFUNCTION("""COMPUTED_VALUE"""),0)</f>
        <v>0</v>
      </c>
      <c r="I403" s="19">
        <f ca="1">IFERROR(__xludf.DUMMYFUNCTION("""COMPUTED_VALUE"""),90)</f>
        <v>90</v>
      </c>
      <c r="J403" s="19">
        <f ca="1">IFERROR(__xludf.DUMMYFUNCTION("""COMPUTED_VALUE"""),0)</f>
        <v>0</v>
      </c>
      <c r="K403" s="20">
        <f ca="1">IFERROR(__xludf.DUMMYFUNCTION("""COMPUTED_VALUE"""),82)</f>
        <v>82</v>
      </c>
      <c r="L403" s="20">
        <f ca="1">IFERROR(__xludf.DUMMYFUNCTION("""COMPUTED_VALUE"""),0)</f>
        <v>0</v>
      </c>
      <c r="M403" s="21">
        <f ca="1">IFERROR(__xludf.DUMMYFUNCTION("""COMPUTED_VALUE"""),110)</f>
        <v>110</v>
      </c>
      <c r="N403" s="21">
        <f ca="1">IFERROR(__xludf.DUMMYFUNCTION("""COMPUTED_VALUE"""),0)</f>
        <v>0</v>
      </c>
      <c r="O403" s="22">
        <f ca="1">IFERROR(__xludf.DUMMYFUNCTION("""COMPUTED_VALUE"""),100)</f>
        <v>100</v>
      </c>
      <c r="P403" s="22">
        <f ca="1">IFERROR(__xludf.DUMMYFUNCTION("""COMPUTED_VALUE"""),0)</f>
        <v>0</v>
      </c>
      <c r="Q403" s="23">
        <f ca="1">IFERROR(__xludf.DUMMYFUNCTION("""COMPUTED_VALUE"""),485)</f>
        <v>485</v>
      </c>
      <c r="R403" s="23">
        <f ca="1">IFERROR(__xludf.DUMMYFUNCTION("""COMPUTED_VALUE"""),0)</f>
        <v>0</v>
      </c>
      <c r="S403" s="25" t="str">
        <f ca="1">IFERROR(__xludf.DUMMYFUNCTION("""COMPUTED_VALUE"""),"Flower Veil")</f>
        <v>Flower Veil</v>
      </c>
      <c r="T403" s="25" t="str">
        <f ca="1">IFERROR(__xludf.DUMMYFUNCTION("""COMPUTED_VALUE"""),"Triage")</f>
        <v>Triage</v>
      </c>
      <c r="U403" s="25" t="str">
        <f ca="1">IFERROR(__xludf.DUMMYFUNCTION("""COMPUTED_VALUE"""),"Natural Cure")</f>
        <v>Natural Cure</v>
      </c>
      <c r="V403" s="25"/>
      <c r="W403" s="25"/>
      <c r="X403" s="25" t="str">
        <f ca="1">IFERROR(__xludf.DUMMYFUNCTION("""COMPUTED_VALUE"""),"Misty Seed")</f>
        <v>Misty Seed</v>
      </c>
      <c r="Y403" s="25"/>
    </row>
    <row r="404" spans="1:25" x14ac:dyDescent="0.25">
      <c r="A404" s="15" t="str">
        <f ca="1">IFERROR(__xludf.DUMMYFUNCTION("""COMPUTED_VALUE"""),"Unown")</f>
        <v>Unown</v>
      </c>
      <c r="B404" s="16">
        <f ca="1">IFERROR(__xludf.DUMMYFUNCTION("""COMPUTED_VALUE"""),403)</f>
        <v>403</v>
      </c>
      <c r="C404" s="3" t="str">
        <f ca="1">IFERROR(__xludf.DUMMYFUNCTION("""COMPUTED_VALUE"""),"Psychic")</f>
        <v>Psychic</v>
      </c>
      <c r="D404" s="3"/>
      <c r="E404" s="17">
        <f ca="1">IFERROR(__xludf.DUMMYFUNCTION("""COMPUTED_VALUE"""),58)</f>
        <v>58</v>
      </c>
      <c r="F404" s="17">
        <f ca="1">IFERROR(__xludf.DUMMYFUNCTION("""COMPUTED_VALUE"""),10)</f>
        <v>10</v>
      </c>
      <c r="G404" s="18">
        <f ca="1">IFERROR(__xludf.DUMMYFUNCTION("""COMPUTED_VALUE"""),82)</f>
        <v>82</v>
      </c>
      <c r="H404" s="18">
        <f ca="1">IFERROR(__xludf.DUMMYFUNCTION("""COMPUTED_VALUE"""),10)</f>
        <v>10</v>
      </c>
      <c r="I404" s="19">
        <f ca="1">IFERROR(__xludf.DUMMYFUNCTION("""COMPUTED_VALUE"""),58)</f>
        <v>58</v>
      </c>
      <c r="J404" s="19">
        <f ca="1">IFERROR(__xludf.DUMMYFUNCTION("""COMPUTED_VALUE"""),10)</f>
        <v>10</v>
      </c>
      <c r="K404" s="20">
        <f ca="1">IFERROR(__xludf.DUMMYFUNCTION("""COMPUTED_VALUE"""),82)</f>
        <v>82</v>
      </c>
      <c r="L404" s="20">
        <f ca="1">IFERROR(__xludf.DUMMYFUNCTION("""COMPUTED_VALUE"""),10)</f>
        <v>10</v>
      </c>
      <c r="M404" s="21">
        <f ca="1">IFERROR(__xludf.DUMMYFUNCTION("""COMPUTED_VALUE"""),58)</f>
        <v>58</v>
      </c>
      <c r="N404" s="21">
        <f ca="1">IFERROR(__xludf.DUMMYFUNCTION("""COMPUTED_VALUE"""),10)</f>
        <v>10</v>
      </c>
      <c r="O404" s="22">
        <f ca="1">IFERROR(__xludf.DUMMYFUNCTION("""COMPUTED_VALUE"""),58)</f>
        <v>58</v>
      </c>
      <c r="P404" s="22">
        <f ca="1">IFERROR(__xludf.DUMMYFUNCTION("""COMPUTED_VALUE"""),10)</f>
        <v>10</v>
      </c>
      <c r="Q404" s="23">
        <f ca="1">IFERROR(__xludf.DUMMYFUNCTION("""COMPUTED_VALUE"""),396)</f>
        <v>396</v>
      </c>
      <c r="R404" s="23">
        <f ca="1">IFERROR(__xludf.DUMMYFUNCTION("""COMPUTED_VALUE"""),60)</f>
        <v>60</v>
      </c>
      <c r="S404" s="24" t="str">
        <f ca="1">IFERROR(__xludf.DUMMYFUNCTION("""COMPUTED_VALUE"""),"Levitate")</f>
        <v>Levitate</v>
      </c>
      <c r="T404" s="25"/>
      <c r="U404" s="25"/>
      <c r="V404" s="25"/>
      <c r="W404" s="25"/>
      <c r="X404" s="25"/>
      <c r="Y404" s="25" t="str">
        <f ca="1">IFERROR(__xludf.DUMMYFUNCTION("""COMPUTED_VALUE"""),"Acrisia Mountains Cave (wild)")</f>
        <v>Acrisia Mountains Cave (wild)</v>
      </c>
    </row>
    <row r="405" spans="1:25" x14ac:dyDescent="0.25">
      <c r="A405" s="15" t="str">
        <f ca="1">IFERROR(__xludf.DUMMYFUNCTION("""COMPUTED_VALUE"""),"Tirtouga")</f>
        <v>Tirtouga</v>
      </c>
      <c r="B405" s="16">
        <f ca="1">IFERROR(__xludf.DUMMYFUNCTION("""COMPUTED_VALUE"""),404)</f>
        <v>404</v>
      </c>
      <c r="C405" s="3" t="str">
        <f ca="1">IFERROR(__xludf.DUMMYFUNCTION("""COMPUTED_VALUE"""),"Water")</f>
        <v>Water</v>
      </c>
      <c r="D405" s="3" t="str">
        <f ca="1">IFERROR(__xludf.DUMMYFUNCTION("""COMPUTED_VALUE"""),"Rock")</f>
        <v>Rock</v>
      </c>
      <c r="E405" s="17">
        <f ca="1">IFERROR(__xludf.DUMMYFUNCTION("""COMPUTED_VALUE"""),54)</f>
        <v>54</v>
      </c>
      <c r="F405" s="17">
        <f ca="1">IFERROR(__xludf.DUMMYFUNCTION("""COMPUTED_VALUE"""),0)</f>
        <v>0</v>
      </c>
      <c r="G405" s="18">
        <f ca="1">IFERROR(__xludf.DUMMYFUNCTION("""COMPUTED_VALUE"""),78)</f>
        <v>78</v>
      </c>
      <c r="H405" s="18">
        <f ca="1">IFERROR(__xludf.DUMMYFUNCTION("""COMPUTED_VALUE"""),0)</f>
        <v>0</v>
      </c>
      <c r="I405" s="19">
        <f ca="1">IFERROR(__xludf.DUMMYFUNCTION("""COMPUTED_VALUE"""),103)</f>
        <v>103</v>
      </c>
      <c r="J405" s="19">
        <f ca="1">IFERROR(__xludf.DUMMYFUNCTION("""COMPUTED_VALUE"""),0)</f>
        <v>0</v>
      </c>
      <c r="K405" s="20">
        <f ca="1">IFERROR(__xludf.DUMMYFUNCTION("""COMPUTED_VALUE"""),53)</f>
        <v>53</v>
      </c>
      <c r="L405" s="20">
        <f ca="1">IFERROR(__xludf.DUMMYFUNCTION("""COMPUTED_VALUE"""),0)</f>
        <v>0</v>
      </c>
      <c r="M405" s="21">
        <f ca="1">IFERROR(__xludf.DUMMYFUNCTION("""COMPUTED_VALUE"""),45)</f>
        <v>45</v>
      </c>
      <c r="N405" s="21">
        <f ca="1">IFERROR(__xludf.DUMMYFUNCTION("""COMPUTED_VALUE"""),0)</f>
        <v>0</v>
      </c>
      <c r="O405" s="22">
        <f ca="1">IFERROR(__xludf.DUMMYFUNCTION("""COMPUTED_VALUE"""),22)</f>
        <v>22</v>
      </c>
      <c r="P405" s="22">
        <f ca="1">IFERROR(__xludf.DUMMYFUNCTION("""COMPUTED_VALUE"""),0)</f>
        <v>0</v>
      </c>
      <c r="Q405" s="23">
        <f ca="1">IFERROR(__xludf.DUMMYFUNCTION("""COMPUTED_VALUE"""),355)</f>
        <v>355</v>
      </c>
      <c r="R405" s="23">
        <f ca="1">IFERROR(__xludf.DUMMYFUNCTION("""COMPUTED_VALUE"""),0)</f>
        <v>0</v>
      </c>
      <c r="S405" s="24" t="str">
        <f ca="1">IFERROR(__xludf.DUMMYFUNCTION("""COMPUTED_VALUE"""),"Solid Rock")</f>
        <v>Solid Rock</v>
      </c>
      <c r="T405" s="24" t="str">
        <f ca="1">IFERROR(__xludf.DUMMYFUNCTION("""COMPUTED_VALUE"""),"Sturdy")</f>
        <v>Sturdy</v>
      </c>
      <c r="U405" s="24" t="str">
        <f ca="1">IFERROR(__xludf.DUMMYFUNCTION("""COMPUTED_VALUE"""),"Swift Swim")</f>
        <v>Swift Swim</v>
      </c>
      <c r="V405" s="25"/>
      <c r="W405" s="25"/>
      <c r="X405" s="25"/>
      <c r="Y405" s="25" t="str">
        <f ca="1">IFERROR(__xludf.DUMMYFUNCTION("""COMPUTED_VALUE"""),"Palati City (wild)")</f>
        <v>Palati City (wild)</v>
      </c>
    </row>
    <row r="406" spans="1:25" x14ac:dyDescent="0.25">
      <c r="A406" s="15" t="str">
        <f ca="1">IFERROR(__xludf.DUMMYFUNCTION("""COMPUTED_VALUE"""),"Carracosta")</f>
        <v>Carracosta</v>
      </c>
      <c r="B406" s="16">
        <f ca="1">IFERROR(__xludf.DUMMYFUNCTION("""COMPUTED_VALUE"""),405)</f>
        <v>405</v>
      </c>
      <c r="C406" s="3" t="str">
        <f ca="1">IFERROR(__xludf.DUMMYFUNCTION("""COMPUTED_VALUE"""),"Water")</f>
        <v>Water</v>
      </c>
      <c r="D406" s="3" t="str">
        <f ca="1">IFERROR(__xludf.DUMMYFUNCTION("""COMPUTED_VALUE"""),"Rock")</f>
        <v>Rock</v>
      </c>
      <c r="E406" s="17">
        <f ca="1">IFERROR(__xludf.DUMMYFUNCTION("""COMPUTED_VALUE"""),74)</f>
        <v>74</v>
      </c>
      <c r="F406" s="17">
        <f ca="1">IFERROR(__xludf.DUMMYFUNCTION("""COMPUTED_VALUE"""),0)</f>
        <v>0</v>
      </c>
      <c r="G406" s="18">
        <f ca="1">IFERROR(__xludf.DUMMYFUNCTION("""COMPUTED_VALUE"""),108)</f>
        <v>108</v>
      </c>
      <c r="H406" s="18">
        <f ca="1">IFERROR(__xludf.DUMMYFUNCTION("""COMPUTED_VALUE"""),0)</f>
        <v>0</v>
      </c>
      <c r="I406" s="19">
        <f ca="1">IFERROR(__xludf.DUMMYFUNCTION("""COMPUTED_VALUE"""),133)</f>
        <v>133</v>
      </c>
      <c r="J406" s="19">
        <f ca="1">IFERROR(__xludf.DUMMYFUNCTION("""COMPUTED_VALUE"""),0)</f>
        <v>0</v>
      </c>
      <c r="K406" s="20">
        <f ca="1">IFERROR(__xludf.DUMMYFUNCTION("""COMPUTED_VALUE"""),83)</f>
        <v>83</v>
      </c>
      <c r="L406" s="20">
        <f ca="1">IFERROR(__xludf.DUMMYFUNCTION("""COMPUTED_VALUE"""),0)</f>
        <v>0</v>
      </c>
      <c r="M406" s="21">
        <f ca="1">IFERROR(__xludf.DUMMYFUNCTION("""COMPUTED_VALUE"""),65)</f>
        <v>65</v>
      </c>
      <c r="N406" s="21">
        <f ca="1">IFERROR(__xludf.DUMMYFUNCTION("""COMPUTED_VALUE"""),0)</f>
        <v>0</v>
      </c>
      <c r="O406" s="22">
        <f ca="1">IFERROR(__xludf.DUMMYFUNCTION("""COMPUTED_VALUE"""),32)</f>
        <v>32</v>
      </c>
      <c r="P406" s="22">
        <f ca="1">IFERROR(__xludf.DUMMYFUNCTION("""COMPUTED_VALUE"""),0)</f>
        <v>0</v>
      </c>
      <c r="Q406" s="23">
        <f ca="1">IFERROR(__xludf.DUMMYFUNCTION("""COMPUTED_VALUE"""),495)</f>
        <v>495</v>
      </c>
      <c r="R406" s="23">
        <f ca="1">IFERROR(__xludf.DUMMYFUNCTION("""COMPUTED_VALUE"""),0)</f>
        <v>0</v>
      </c>
      <c r="S406" s="24" t="str">
        <f ca="1">IFERROR(__xludf.DUMMYFUNCTION("""COMPUTED_VALUE"""),"Solid Rock")</f>
        <v>Solid Rock</v>
      </c>
      <c r="T406" s="24" t="str">
        <f ca="1">IFERROR(__xludf.DUMMYFUNCTION("""COMPUTED_VALUE"""),"Sturdy")</f>
        <v>Sturdy</v>
      </c>
      <c r="U406" s="24" t="str">
        <f ca="1">IFERROR(__xludf.DUMMYFUNCTION("""COMPUTED_VALUE"""),"Swift Swim")</f>
        <v>Swift Swim</v>
      </c>
      <c r="V406" s="25" t="str">
        <f ca="1">IFERROR(__xludf.DUMMYFUNCTION("""COMPUTED_VALUE"""),"Lv. 33")</f>
        <v>Lv. 33</v>
      </c>
      <c r="W406" s="25"/>
      <c r="X406" s="25"/>
      <c r="Y406" s="25" t="str">
        <f ca="1">IFERROR(__xludf.DUMMYFUNCTION("""COMPUTED_VALUE"""),"Tirtouga (evolve)")</f>
        <v>Tirtouga (evolve)</v>
      </c>
    </row>
    <row r="407" spans="1:25" x14ac:dyDescent="0.25">
      <c r="A407" s="15" t="str">
        <f ca="1">IFERROR(__xludf.DUMMYFUNCTION("""COMPUTED_VALUE"""),"Archen")</f>
        <v>Archen</v>
      </c>
      <c r="B407" s="16">
        <f ca="1">IFERROR(__xludf.DUMMYFUNCTION("""COMPUTED_VALUE"""),406)</f>
        <v>406</v>
      </c>
      <c r="C407" s="3" t="str">
        <f ca="1">IFERROR(__xludf.DUMMYFUNCTION("""COMPUTED_VALUE"""),"Rock")</f>
        <v>Rock</v>
      </c>
      <c r="D407" s="3" t="str">
        <f ca="1">IFERROR(__xludf.DUMMYFUNCTION("""COMPUTED_VALUE"""),"Flying")</f>
        <v>Flying</v>
      </c>
      <c r="E407" s="17">
        <f ca="1">IFERROR(__xludf.DUMMYFUNCTION("""COMPUTED_VALUE"""),55)</f>
        <v>55</v>
      </c>
      <c r="F407" s="17">
        <f ca="1">IFERROR(__xludf.DUMMYFUNCTION("""COMPUTED_VALUE"""),0)</f>
        <v>0</v>
      </c>
      <c r="G407" s="18">
        <f ca="1">IFERROR(__xludf.DUMMYFUNCTION("""COMPUTED_VALUE"""),112)</f>
        <v>112</v>
      </c>
      <c r="H407" s="18">
        <f ca="1">IFERROR(__xludf.DUMMYFUNCTION("""COMPUTED_VALUE"""),0)</f>
        <v>0</v>
      </c>
      <c r="I407" s="19">
        <f ca="1">IFERROR(__xludf.DUMMYFUNCTION("""COMPUTED_VALUE"""),45)</f>
        <v>45</v>
      </c>
      <c r="J407" s="19">
        <f ca="1">IFERROR(__xludf.DUMMYFUNCTION("""COMPUTED_VALUE"""),0)</f>
        <v>0</v>
      </c>
      <c r="K407" s="20">
        <f ca="1">IFERROR(__xludf.DUMMYFUNCTION("""COMPUTED_VALUE"""),74)</f>
        <v>74</v>
      </c>
      <c r="L407" s="20">
        <f ca="1">IFERROR(__xludf.DUMMYFUNCTION("""COMPUTED_VALUE"""),0)</f>
        <v>0</v>
      </c>
      <c r="M407" s="21">
        <f ca="1">IFERROR(__xludf.DUMMYFUNCTION("""COMPUTED_VALUE"""),45)</f>
        <v>45</v>
      </c>
      <c r="N407" s="21">
        <f ca="1">IFERROR(__xludf.DUMMYFUNCTION("""COMPUTED_VALUE"""),0)</f>
        <v>0</v>
      </c>
      <c r="O407" s="22">
        <f ca="1">IFERROR(__xludf.DUMMYFUNCTION("""COMPUTED_VALUE"""),70)</f>
        <v>70</v>
      </c>
      <c r="P407" s="22">
        <f ca="1">IFERROR(__xludf.DUMMYFUNCTION("""COMPUTED_VALUE"""),0)</f>
        <v>0</v>
      </c>
      <c r="Q407" s="23">
        <f ca="1">IFERROR(__xludf.DUMMYFUNCTION("""COMPUTED_VALUE"""),401)</f>
        <v>401</v>
      </c>
      <c r="R407" s="23">
        <f ca="1">IFERROR(__xludf.DUMMYFUNCTION("""COMPUTED_VALUE"""),0)</f>
        <v>0</v>
      </c>
      <c r="S407" s="24" t="str">
        <f ca="1">IFERROR(__xludf.DUMMYFUNCTION("""COMPUTED_VALUE"""),"Defeatist")</f>
        <v>Defeatist</v>
      </c>
      <c r="T407" s="25"/>
      <c r="U407" s="25" t="str">
        <f ca="1">IFERROR(__xludf.DUMMYFUNCTION("""COMPUTED_VALUE"""),"Tangled Feet")</f>
        <v>Tangled Feet</v>
      </c>
      <c r="V407" s="25"/>
      <c r="W407" s="25"/>
      <c r="X407" s="25"/>
      <c r="Y407" s="25" t="str">
        <f ca="1">IFERROR(__xludf.DUMMYFUNCTION("""COMPUTED_VALUE"""),"Palati City (wild)")</f>
        <v>Palati City (wild)</v>
      </c>
    </row>
    <row r="408" spans="1:25" x14ac:dyDescent="0.25">
      <c r="A408" s="15" t="str">
        <f ca="1">IFERROR(__xludf.DUMMYFUNCTION("""COMPUTED_VALUE"""),"Archeops")</f>
        <v>Archeops</v>
      </c>
      <c r="B408" s="16">
        <f ca="1">IFERROR(__xludf.DUMMYFUNCTION("""COMPUTED_VALUE"""),407)</f>
        <v>407</v>
      </c>
      <c r="C408" s="3" t="str">
        <f ca="1">IFERROR(__xludf.DUMMYFUNCTION("""COMPUTED_VALUE"""),"Rock")</f>
        <v>Rock</v>
      </c>
      <c r="D408" s="3" t="str">
        <f ca="1">IFERROR(__xludf.DUMMYFUNCTION("""COMPUTED_VALUE"""),"Flying")</f>
        <v>Flying</v>
      </c>
      <c r="E408" s="17">
        <f ca="1">IFERROR(__xludf.DUMMYFUNCTION("""COMPUTED_VALUE"""),75)</f>
        <v>75</v>
      </c>
      <c r="F408" s="17">
        <f ca="1">IFERROR(__xludf.DUMMYFUNCTION("""COMPUTED_VALUE"""),0)</f>
        <v>0</v>
      </c>
      <c r="G408" s="18">
        <f ca="1">IFERROR(__xludf.DUMMYFUNCTION("""COMPUTED_VALUE"""),125)</f>
        <v>125</v>
      </c>
      <c r="H408" s="18">
        <f ca="1">IFERROR(__xludf.DUMMYFUNCTION("""COMPUTED_VALUE"""),-15)</f>
        <v>-15</v>
      </c>
      <c r="I408" s="19">
        <f ca="1">IFERROR(__xludf.DUMMYFUNCTION("""COMPUTED_VALUE"""),75)</f>
        <v>75</v>
      </c>
      <c r="J408" s="19">
        <f ca="1">IFERROR(__xludf.DUMMYFUNCTION("""COMPUTED_VALUE"""),10)</f>
        <v>10</v>
      </c>
      <c r="K408" s="20">
        <f ca="1">IFERROR(__xludf.DUMMYFUNCTION("""COMPUTED_VALUE"""),100)</f>
        <v>100</v>
      </c>
      <c r="L408" s="20">
        <f ca="1">IFERROR(__xludf.DUMMYFUNCTION("""COMPUTED_VALUE"""),-12)</f>
        <v>-12</v>
      </c>
      <c r="M408" s="21">
        <f ca="1">IFERROR(__xludf.DUMMYFUNCTION("""COMPUTED_VALUE"""),65)</f>
        <v>65</v>
      </c>
      <c r="N408" s="21">
        <f ca="1">IFERROR(__xludf.DUMMYFUNCTION("""COMPUTED_VALUE"""),0)</f>
        <v>0</v>
      </c>
      <c r="O408" s="22">
        <f ca="1">IFERROR(__xludf.DUMMYFUNCTION("""COMPUTED_VALUE"""),110)</f>
        <v>110</v>
      </c>
      <c r="P408" s="22">
        <f ca="1">IFERROR(__xludf.DUMMYFUNCTION("""COMPUTED_VALUE"""),0)</f>
        <v>0</v>
      </c>
      <c r="Q408" s="23">
        <f ca="1">IFERROR(__xludf.DUMMYFUNCTION("""COMPUTED_VALUE"""),550)</f>
        <v>550</v>
      </c>
      <c r="R408" s="23">
        <f ca="1">IFERROR(__xludf.DUMMYFUNCTION("""COMPUTED_VALUE"""),-17)</f>
        <v>-17</v>
      </c>
      <c r="S408" s="24" t="str">
        <f ca="1">IFERROR(__xludf.DUMMYFUNCTION("""COMPUTED_VALUE"""),"Defeatist")</f>
        <v>Defeatist</v>
      </c>
      <c r="T408" s="25"/>
      <c r="U408" s="24" t="str">
        <f ca="1">IFERROR(__xludf.DUMMYFUNCTION("""COMPUTED_VALUE"""),"Fluffy")</f>
        <v>Fluffy</v>
      </c>
      <c r="V408" s="25" t="str">
        <f ca="1">IFERROR(__xludf.DUMMYFUNCTION("""COMPUTED_VALUE"""),"Lv. 33")</f>
        <v>Lv. 33</v>
      </c>
      <c r="W408" s="25"/>
      <c r="X408" s="25"/>
      <c r="Y408" s="25" t="str">
        <f ca="1">IFERROR(__xludf.DUMMYFUNCTION("""COMPUTED_VALUE"""),"Archen (evolve)")</f>
        <v>Archen (evolve)</v>
      </c>
    </row>
    <row r="409" spans="1:25" x14ac:dyDescent="0.25">
      <c r="A409" s="15" t="str">
        <f ca="1">IFERROR(__xludf.DUMMYFUNCTION("""COMPUTED_VALUE"""),"Dracozolt")</f>
        <v>Dracozolt</v>
      </c>
      <c r="B409" s="16">
        <f ca="1">IFERROR(__xludf.DUMMYFUNCTION("""COMPUTED_VALUE"""),408)</f>
        <v>408</v>
      </c>
      <c r="C409" s="3" t="str">
        <f ca="1">IFERROR(__xludf.DUMMYFUNCTION("""COMPUTED_VALUE"""),"Electric")</f>
        <v>Electric</v>
      </c>
      <c r="D409" s="3" t="str">
        <f ca="1">IFERROR(__xludf.DUMMYFUNCTION("""COMPUTED_VALUE"""),"Dragon")</f>
        <v>Dragon</v>
      </c>
      <c r="E409" s="17">
        <f ca="1">IFERROR(__xludf.DUMMYFUNCTION("""COMPUTED_VALUE"""),90)</f>
        <v>90</v>
      </c>
      <c r="F409" s="17">
        <f ca="1">IFERROR(__xludf.DUMMYFUNCTION("""COMPUTED_VALUE"""),0)</f>
        <v>0</v>
      </c>
      <c r="G409" s="18">
        <f ca="1">IFERROR(__xludf.DUMMYFUNCTION("""COMPUTED_VALUE"""),100)</f>
        <v>100</v>
      </c>
      <c r="H409" s="18">
        <f ca="1">IFERROR(__xludf.DUMMYFUNCTION("""COMPUTED_VALUE"""),0)</f>
        <v>0</v>
      </c>
      <c r="I409" s="19">
        <f ca="1">IFERROR(__xludf.DUMMYFUNCTION("""COMPUTED_VALUE"""),90)</f>
        <v>90</v>
      </c>
      <c r="J409" s="19">
        <f ca="1">IFERROR(__xludf.DUMMYFUNCTION("""COMPUTED_VALUE"""),0)</f>
        <v>0</v>
      </c>
      <c r="K409" s="20">
        <f ca="1">IFERROR(__xludf.DUMMYFUNCTION("""COMPUTED_VALUE"""),80)</f>
        <v>80</v>
      </c>
      <c r="L409" s="20">
        <f ca="1">IFERROR(__xludf.DUMMYFUNCTION("""COMPUTED_VALUE"""),0)</f>
        <v>0</v>
      </c>
      <c r="M409" s="21">
        <f ca="1">IFERROR(__xludf.DUMMYFUNCTION("""COMPUTED_VALUE"""),70)</f>
        <v>70</v>
      </c>
      <c r="N409" s="21">
        <f ca="1">IFERROR(__xludf.DUMMYFUNCTION("""COMPUTED_VALUE"""),0)</f>
        <v>0</v>
      </c>
      <c r="O409" s="22">
        <f ca="1">IFERROR(__xludf.DUMMYFUNCTION("""COMPUTED_VALUE"""),75)</f>
        <v>75</v>
      </c>
      <c r="P409" s="22">
        <f ca="1">IFERROR(__xludf.DUMMYFUNCTION("""COMPUTED_VALUE"""),0)</f>
        <v>0</v>
      </c>
      <c r="Q409" s="23">
        <f ca="1">IFERROR(__xludf.DUMMYFUNCTION("""COMPUTED_VALUE"""),505)</f>
        <v>505</v>
      </c>
      <c r="R409" s="23">
        <f ca="1">IFERROR(__xludf.DUMMYFUNCTION("""COMPUTED_VALUE"""),0)</f>
        <v>0</v>
      </c>
      <c r="S409" s="24" t="str">
        <f ca="1">IFERROR(__xludf.DUMMYFUNCTION("""COMPUTED_VALUE"""),"Volt Absorb")</f>
        <v>Volt Absorb</v>
      </c>
      <c r="T409" s="24" t="str">
        <f ca="1">IFERROR(__xludf.DUMMYFUNCTION("""COMPUTED_VALUE"""),"Strong Jaw")</f>
        <v>Strong Jaw</v>
      </c>
      <c r="U409" s="24" t="str">
        <f ca="1">IFERROR(__xludf.DUMMYFUNCTION("""COMPUTED_VALUE"""),"Sand Stream")</f>
        <v>Sand Stream</v>
      </c>
      <c r="V409" s="25"/>
      <c r="W409" s="25"/>
      <c r="X409" s="25"/>
      <c r="Y409" s="25"/>
    </row>
    <row r="410" spans="1:25" x14ac:dyDescent="0.25">
      <c r="A410" s="15" t="str">
        <f ca="1">IFERROR(__xludf.DUMMYFUNCTION("""COMPUTED_VALUE"""),"Arctozolt")</f>
        <v>Arctozolt</v>
      </c>
      <c r="B410" s="16">
        <f ca="1">IFERROR(__xludf.DUMMYFUNCTION("""COMPUTED_VALUE"""),409)</f>
        <v>409</v>
      </c>
      <c r="C410" s="3" t="str">
        <f ca="1">IFERROR(__xludf.DUMMYFUNCTION("""COMPUTED_VALUE"""),"Electric")</f>
        <v>Electric</v>
      </c>
      <c r="D410" s="3" t="str">
        <f ca="1">IFERROR(__xludf.DUMMYFUNCTION("""COMPUTED_VALUE"""),"Ice")</f>
        <v>Ice</v>
      </c>
      <c r="E410" s="17">
        <f ca="1">IFERROR(__xludf.DUMMYFUNCTION("""COMPUTED_VALUE"""),90)</f>
        <v>90</v>
      </c>
      <c r="F410" s="17">
        <f ca="1">IFERROR(__xludf.DUMMYFUNCTION("""COMPUTED_VALUE"""),0)</f>
        <v>0</v>
      </c>
      <c r="G410" s="18">
        <f ca="1">IFERROR(__xludf.DUMMYFUNCTION("""COMPUTED_VALUE"""),100)</f>
        <v>100</v>
      </c>
      <c r="H410" s="18">
        <f ca="1">IFERROR(__xludf.DUMMYFUNCTION("""COMPUTED_VALUE"""),0)</f>
        <v>0</v>
      </c>
      <c r="I410" s="19">
        <f ca="1">IFERROR(__xludf.DUMMYFUNCTION("""COMPUTED_VALUE"""),90)</f>
        <v>90</v>
      </c>
      <c r="J410" s="19">
        <f ca="1">IFERROR(__xludf.DUMMYFUNCTION("""COMPUTED_VALUE"""),0)</f>
        <v>0</v>
      </c>
      <c r="K410" s="20">
        <f ca="1">IFERROR(__xludf.DUMMYFUNCTION("""COMPUTED_VALUE"""),90)</f>
        <v>90</v>
      </c>
      <c r="L410" s="20">
        <f ca="1">IFERROR(__xludf.DUMMYFUNCTION("""COMPUTED_VALUE"""),0)</f>
        <v>0</v>
      </c>
      <c r="M410" s="21">
        <f ca="1">IFERROR(__xludf.DUMMYFUNCTION("""COMPUTED_VALUE"""),80)</f>
        <v>80</v>
      </c>
      <c r="N410" s="21">
        <f ca="1">IFERROR(__xludf.DUMMYFUNCTION("""COMPUTED_VALUE"""),0)</f>
        <v>0</v>
      </c>
      <c r="O410" s="22">
        <f ca="1">IFERROR(__xludf.DUMMYFUNCTION("""COMPUTED_VALUE"""),55)</f>
        <v>55</v>
      </c>
      <c r="P410" s="22">
        <f ca="1">IFERROR(__xludf.DUMMYFUNCTION("""COMPUTED_VALUE"""),0)</f>
        <v>0</v>
      </c>
      <c r="Q410" s="23">
        <f ca="1">IFERROR(__xludf.DUMMYFUNCTION("""COMPUTED_VALUE"""),505)</f>
        <v>505</v>
      </c>
      <c r="R410" s="23">
        <f ca="1">IFERROR(__xludf.DUMMYFUNCTION("""COMPUTED_VALUE"""),0)</f>
        <v>0</v>
      </c>
      <c r="S410" s="24" t="str">
        <f ca="1">IFERROR(__xludf.DUMMYFUNCTION("""COMPUTED_VALUE"""),"Volt Absorb")</f>
        <v>Volt Absorb</v>
      </c>
      <c r="T410" s="24" t="str">
        <f ca="1">IFERROR(__xludf.DUMMYFUNCTION("""COMPUTED_VALUE"""),"Strong Jaw")</f>
        <v>Strong Jaw</v>
      </c>
      <c r="U410" s="24" t="str">
        <f ca="1">IFERROR(__xludf.DUMMYFUNCTION("""COMPUTED_VALUE"""),"Snow Warning")</f>
        <v>Snow Warning</v>
      </c>
      <c r="V410" s="25"/>
      <c r="W410" s="25"/>
      <c r="X410" s="25"/>
      <c r="Y410" s="25"/>
    </row>
    <row r="411" spans="1:25" x14ac:dyDescent="0.25">
      <c r="A411" s="15" t="str">
        <f ca="1">IFERROR(__xludf.DUMMYFUNCTION("""COMPUTED_VALUE"""),"Dracovish")</f>
        <v>Dracovish</v>
      </c>
      <c r="B411" s="16">
        <f ca="1">IFERROR(__xludf.DUMMYFUNCTION("""COMPUTED_VALUE"""),410)</f>
        <v>410</v>
      </c>
      <c r="C411" s="3" t="str">
        <f ca="1">IFERROR(__xludf.DUMMYFUNCTION("""COMPUTED_VALUE"""),"Water")</f>
        <v>Water</v>
      </c>
      <c r="D411" s="3" t="str">
        <f ca="1">IFERROR(__xludf.DUMMYFUNCTION("""COMPUTED_VALUE"""),"Dragon")</f>
        <v>Dragon</v>
      </c>
      <c r="E411" s="17">
        <f ca="1">IFERROR(__xludf.DUMMYFUNCTION("""COMPUTED_VALUE"""),90)</f>
        <v>90</v>
      </c>
      <c r="F411" s="17">
        <f ca="1">IFERROR(__xludf.DUMMYFUNCTION("""COMPUTED_VALUE"""),0)</f>
        <v>0</v>
      </c>
      <c r="G411" s="18">
        <f ca="1">IFERROR(__xludf.DUMMYFUNCTION("""COMPUTED_VALUE"""),90)</f>
        <v>90</v>
      </c>
      <c r="H411" s="18">
        <f ca="1">IFERROR(__xludf.DUMMYFUNCTION("""COMPUTED_VALUE"""),0)</f>
        <v>0</v>
      </c>
      <c r="I411" s="19">
        <f ca="1">IFERROR(__xludf.DUMMYFUNCTION("""COMPUTED_VALUE"""),100)</f>
        <v>100</v>
      </c>
      <c r="J411" s="19">
        <f ca="1">IFERROR(__xludf.DUMMYFUNCTION("""COMPUTED_VALUE"""),0)</f>
        <v>0</v>
      </c>
      <c r="K411" s="20">
        <f ca="1">IFERROR(__xludf.DUMMYFUNCTION("""COMPUTED_VALUE"""),70)</f>
        <v>70</v>
      </c>
      <c r="L411" s="20">
        <f ca="1">IFERROR(__xludf.DUMMYFUNCTION("""COMPUTED_VALUE"""),0)</f>
        <v>0</v>
      </c>
      <c r="M411" s="21">
        <f ca="1">IFERROR(__xludf.DUMMYFUNCTION("""COMPUTED_VALUE"""),80)</f>
        <v>80</v>
      </c>
      <c r="N411" s="21">
        <f ca="1">IFERROR(__xludf.DUMMYFUNCTION("""COMPUTED_VALUE"""),0)</f>
        <v>0</v>
      </c>
      <c r="O411" s="22">
        <f ca="1">IFERROR(__xludf.DUMMYFUNCTION("""COMPUTED_VALUE"""),75)</f>
        <v>75</v>
      </c>
      <c r="P411" s="22">
        <f ca="1">IFERROR(__xludf.DUMMYFUNCTION("""COMPUTED_VALUE"""),0)</f>
        <v>0</v>
      </c>
      <c r="Q411" s="23">
        <f ca="1">IFERROR(__xludf.DUMMYFUNCTION("""COMPUTED_VALUE"""),505)</f>
        <v>505</v>
      </c>
      <c r="R411" s="23">
        <f ca="1">IFERROR(__xludf.DUMMYFUNCTION("""COMPUTED_VALUE"""),0)</f>
        <v>0</v>
      </c>
      <c r="S411" s="24" t="str">
        <f ca="1">IFERROR(__xludf.DUMMYFUNCTION("""COMPUTED_VALUE"""),"Water Absorb")</f>
        <v>Water Absorb</v>
      </c>
      <c r="T411" s="24" t="str">
        <f ca="1">IFERROR(__xludf.DUMMYFUNCTION("""COMPUTED_VALUE"""),"Strong Jaw")</f>
        <v>Strong Jaw</v>
      </c>
      <c r="U411" s="24" t="str">
        <f ca="1">IFERROR(__xludf.DUMMYFUNCTION("""COMPUTED_VALUE"""),"Drizzle")</f>
        <v>Drizzle</v>
      </c>
      <c r="V411" s="25"/>
      <c r="W411" s="25"/>
      <c r="X411" s="25"/>
      <c r="Y411" s="25"/>
    </row>
    <row r="412" spans="1:25" x14ac:dyDescent="0.25">
      <c r="A412" s="15" t="str">
        <f ca="1">IFERROR(__xludf.DUMMYFUNCTION("""COMPUTED_VALUE"""),"Arctovish")</f>
        <v>Arctovish</v>
      </c>
      <c r="B412" s="16">
        <f ca="1">IFERROR(__xludf.DUMMYFUNCTION("""COMPUTED_VALUE"""),411)</f>
        <v>411</v>
      </c>
      <c r="C412" s="3" t="str">
        <f ca="1">IFERROR(__xludf.DUMMYFUNCTION("""COMPUTED_VALUE"""),"Water")</f>
        <v>Water</v>
      </c>
      <c r="D412" s="3" t="str">
        <f ca="1">IFERROR(__xludf.DUMMYFUNCTION("""COMPUTED_VALUE"""),"Ice")</f>
        <v>Ice</v>
      </c>
      <c r="E412" s="17">
        <f ca="1">IFERROR(__xludf.DUMMYFUNCTION("""COMPUTED_VALUE"""),90)</f>
        <v>90</v>
      </c>
      <c r="F412" s="17">
        <f ca="1">IFERROR(__xludf.DUMMYFUNCTION("""COMPUTED_VALUE"""),0)</f>
        <v>0</v>
      </c>
      <c r="G412" s="18">
        <f ca="1">IFERROR(__xludf.DUMMYFUNCTION("""COMPUTED_VALUE"""),90)</f>
        <v>90</v>
      </c>
      <c r="H412" s="18">
        <f ca="1">IFERROR(__xludf.DUMMYFUNCTION("""COMPUTED_VALUE"""),0)</f>
        <v>0</v>
      </c>
      <c r="I412" s="19">
        <f ca="1">IFERROR(__xludf.DUMMYFUNCTION("""COMPUTED_VALUE"""),100)</f>
        <v>100</v>
      </c>
      <c r="J412" s="19">
        <f ca="1">IFERROR(__xludf.DUMMYFUNCTION("""COMPUTED_VALUE"""),0)</f>
        <v>0</v>
      </c>
      <c r="K412" s="20">
        <f ca="1">IFERROR(__xludf.DUMMYFUNCTION("""COMPUTED_VALUE"""),80)</f>
        <v>80</v>
      </c>
      <c r="L412" s="20">
        <f ca="1">IFERROR(__xludf.DUMMYFUNCTION("""COMPUTED_VALUE"""),0)</f>
        <v>0</v>
      </c>
      <c r="M412" s="21">
        <f ca="1">IFERROR(__xludf.DUMMYFUNCTION("""COMPUTED_VALUE"""),90)</f>
        <v>90</v>
      </c>
      <c r="N412" s="21">
        <f ca="1">IFERROR(__xludf.DUMMYFUNCTION("""COMPUTED_VALUE"""),0)</f>
        <v>0</v>
      </c>
      <c r="O412" s="22">
        <f ca="1">IFERROR(__xludf.DUMMYFUNCTION("""COMPUTED_VALUE"""),55)</f>
        <v>55</v>
      </c>
      <c r="P412" s="22">
        <f ca="1">IFERROR(__xludf.DUMMYFUNCTION("""COMPUTED_VALUE"""),0)</f>
        <v>0</v>
      </c>
      <c r="Q412" s="23">
        <f ca="1">IFERROR(__xludf.DUMMYFUNCTION("""COMPUTED_VALUE"""),505)</f>
        <v>505</v>
      </c>
      <c r="R412" s="23">
        <f ca="1">IFERROR(__xludf.DUMMYFUNCTION("""COMPUTED_VALUE"""),0)</f>
        <v>0</v>
      </c>
      <c r="S412" s="24" t="str">
        <f ca="1">IFERROR(__xludf.DUMMYFUNCTION("""COMPUTED_VALUE"""),"Water Absorb")</f>
        <v>Water Absorb</v>
      </c>
      <c r="T412" s="24" t="str">
        <f ca="1">IFERROR(__xludf.DUMMYFUNCTION("""COMPUTED_VALUE"""),"Strong Jaw")</f>
        <v>Strong Jaw</v>
      </c>
      <c r="U412" s="24" t="str">
        <f ca="1">IFERROR(__xludf.DUMMYFUNCTION("""COMPUTED_VALUE"""),"Snow Warning")</f>
        <v>Snow Warning</v>
      </c>
      <c r="V412" s="25"/>
      <c r="W412" s="25"/>
      <c r="X412" s="25"/>
      <c r="Y412" s="25"/>
    </row>
    <row r="413" spans="1:25" x14ac:dyDescent="0.25">
      <c r="A413" s="15" t="str">
        <f ca="1">IFERROR(__xludf.DUMMYFUNCTION("""COMPUTED_VALUE"""),"Type: Null")</f>
        <v>Type: Null</v>
      </c>
      <c r="B413" s="16">
        <f ca="1">IFERROR(__xludf.DUMMYFUNCTION("""COMPUTED_VALUE"""),412)</f>
        <v>412</v>
      </c>
      <c r="C413" s="3" t="str">
        <f ca="1">IFERROR(__xludf.DUMMYFUNCTION("""COMPUTED_VALUE"""),"Normal")</f>
        <v>Normal</v>
      </c>
      <c r="D413" s="3"/>
      <c r="E413" s="17">
        <f ca="1">IFERROR(__xludf.DUMMYFUNCTION("""COMPUTED_VALUE"""),85)</f>
        <v>85</v>
      </c>
      <c r="F413" s="17">
        <f ca="1">IFERROR(__xludf.DUMMYFUNCTION("""COMPUTED_VALUE"""),-10)</f>
        <v>-10</v>
      </c>
      <c r="G413" s="18">
        <f ca="1">IFERROR(__xludf.DUMMYFUNCTION("""COMPUTED_VALUE"""),85)</f>
        <v>85</v>
      </c>
      <c r="H413" s="18">
        <f ca="1">IFERROR(__xludf.DUMMYFUNCTION("""COMPUTED_VALUE"""),-10)</f>
        <v>-10</v>
      </c>
      <c r="I413" s="19">
        <f ca="1">IFERROR(__xludf.DUMMYFUNCTION("""COMPUTED_VALUE"""),85)</f>
        <v>85</v>
      </c>
      <c r="J413" s="19">
        <f ca="1">IFERROR(__xludf.DUMMYFUNCTION("""COMPUTED_VALUE"""),-10)</f>
        <v>-10</v>
      </c>
      <c r="K413" s="20">
        <f ca="1">IFERROR(__xludf.DUMMYFUNCTION("""COMPUTED_VALUE"""),85)</f>
        <v>85</v>
      </c>
      <c r="L413" s="20">
        <f ca="1">IFERROR(__xludf.DUMMYFUNCTION("""COMPUTED_VALUE"""),-10)</f>
        <v>-10</v>
      </c>
      <c r="M413" s="21">
        <f ca="1">IFERROR(__xludf.DUMMYFUNCTION("""COMPUTED_VALUE"""),85)</f>
        <v>85</v>
      </c>
      <c r="N413" s="21">
        <f ca="1">IFERROR(__xludf.DUMMYFUNCTION("""COMPUTED_VALUE"""),-10)</f>
        <v>-10</v>
      </c>
      <c r="O413" s="22">
        <f ca="1">IFERROR(__xludf.DUMMYFUNCTION("""COMPUTED_VALUE"""),55)</f>
        <v>55</v>
      </c>
      <c r="P413" s="22">
        <f ca="1">IFERROR(__xludf.DUMMYFUNCTION("""COMPUTED_VALUE"""),-4)</f>
        <v>-4</v>
      </c>
      <c r="Q413" s="23">
        <f ca="1">IFERROR(__xludf.DUMMYFUNCTION("""COMPUTED_VALUE"""),480)</f>
        <v>480</v>
      </c>
      <c r="R413" s="23">
        <f ca="1">IFERROR(__xludf.DUMMYFUNCTION("""COMPUTED_VALUE"""),-54)</f>
        <v>-54</v>
      </c>
      <c r="S413" s="24" t="str">
        <f ca="1">IFERROR(__xludf.DUMMYFUNCTION("""COMPUTED_VALUE"""),"Battle Armor")</f>
        <v>Battle Armor</v>
      </c>
      <c r="T413" s="25"/>
      <c r="U413" s="25"/>
      <c r="V413" s="25"/>
      <c r="W413" s="25"/>
      <c r="X413" s="25"/>
      <c r="Y413" s="25"/>
    </row>
    <row r="414" spans="1:25" x14ac:dyDescent="0.25">
      <c r="A414" s="15" t="str">
        <f ca="1">IFERROR(__xludf.DUMMYFUNCTION("""COMPUTED_VALUE"""),"Silvally")</f>
        <v>Silvally</v>
      </c>
      <c r="B414" s="16">
        <f ca="1">IFERROR(__xludf.DUMMYFUNCTION("""COMPUTED_VALUE"""),413)</f>
        <v>413</v>
      </c>
      <c r="C414" s="3" t="str">
        <f ca="1">IFERROR(__xludf.DUMMYFUNCTION("""COMPUTED_VALUE"""),"Normal")</f>
        <v>Normal</v>
      </c>
      <c r="D414" s="3"/>
      <c r="E414" s="17">
        <f ca="1">IFERROR(__xludf.DUMMYFUNCTION("""COMPUTED_VALUE"""),95)</f>
        <v>95</v>
      </c>
      <c r="F414" s="17">
        <f ca="1">IFERROR(__xludf.DUMMYFUNCTION("""COMPUTED_VALUE"""),0)</f>
        <v>0</v>
      </c>
      <c r="G414" s="18">
        <f ca="1">IFERROR(__xludf.DUMMYFUNCTION("""COMPUTED_VALUE"""),95)</f>
        <v>95</v>
      </c>
      <c r="H414" s="18">
        <f ca="1">IFERROR(__xludf.DUMMYFUNCTION("""COMPUTED_VALUE"""),0)</f>
        <v>0</v>
      </c>
      <c r="I414" s="19">
        <f ca="1">IFERROR(__xludf.DUMMYFUNCTION("""COMPUTED_VALUE"""),95)</f>
        <v>95</v>
      </c>
      <c r="J414" s="19">
        <f ca="1">IFERROR(__xludf.DUMMYFUNCTION("""COMPUTED_VALUE"""),0)</f>
        <v>0</v>
      </c>
      <c r="K414" s="20">
        <f ca="1">IFERROR(__xludf.DUMMYFUNCTION("""COMPUTED_VALUE"""),95)</f>
        <v>95</v>
      </c>
      <c r="L414" s="20">
        <f ca="1">IFERROR(__xludf.DUMMYFUNCTION("""COMPUTED_VALUE"""),0)</f>
        <v>0</v>
      </c>
      <c r="M414" s="21">
        <f ca="1">IFERROR(__xludf.DUMMYFUNCTION("""COMPUTED_VALUE"""),95)</f>
        <v>95</v>
      </c>
      <c r="N414" s="21">
        <f ca="1">IFERROR(__xludf.DUMMYFUNCTION("""COMPUTED_VALUE"""),0)</f>
        <v>0</v>
      </c>
      <c r="O414" s="22">
        <f ca="1">IFERROR(__xludf.DUMMYFUNCTION("""COMPUTED_VALUE"""),95)</f>
        <v>95</v>
      </c>
      <c r="P414" s="22">
        <f ca="1">IFERROR(__xludf.DUMMYFUNCTION("""COMPUTED_VALUE"""),0)</f>
        <v>0</v>
      </c>
      <c r="Q414" s="23">
        <f ca="1">IFERROR(__xludf.DUMMYFUNCTION("""COMPUTED_VALUE"""),570)</f>
        <v>570</v>
      </c>
      <c r="R414" s="23">
        <f ca="1">IFERROR(__xludf.DUMMYFUNCTION("""COMPUTED_VALUE"""),0)</f>
        <v>0</v>
      </c>
      <c r="S414" s="25" t="str">
        <f ca="1">IFERROR(__xludf.DUMMYFUNCTION("""COMPUTED_VALUE"""),"RKS System")</f>
        <v>RKS System</v>
      </c>
      <c r="T414" s="25"/>
      <c r="U414" s="25"/>
      <c r="V414" s="25" t="str">
        <f ca="1">IFERROR(__xludf.DUMMYFUNCTION("""COMPUTED_VALUE"""),"Lv. w/ High Friendship?")</f>
        <v>Lv. w/ High Friendship?</v>
      </c>
      <c r="W414" s="25"/>
      <c r="X414" s="25"/>
      <c r="Y414" s="25"/>
    </row>
    <row r="415" spans="1:25" x14ac:dyDescent="0.25">
      <c r="A415" s="15" t="str">
        <f ca="1">IFERROR(__xludf.DUMMYFUNCTION("""COMPUTED_VALUE"""),"Larvitar")</f>
        <v>Larvitar</v>
      </c>
      <c r="B415" s="16">
        <f ca="1">IFERROR(__xludf.DUMMYFUNCTION("""COMPUTED_VALUE"""),414)</f>
        <v>414</v>
      </c>
      <c r="C415" s="3" t="str">
        <f ca="1">IFERROR(__xludf.DUMMYFUNCTION("""COMPUTED_VALUE"""),"Rock")</f>
        <v>Rock</v>
      </c>
      <c r="D415" s="3" t="str">
        <f ca="1">IFERROR(__xludf.DUMMYFUNCTION("""COMPUTED_VALUE"""),"Ground")</f>
        <v>Ground</v>
      </c>
      <c r="E415" s="17">
        <f ca="1">IFERROR(__xludf.DUMMYFUNCTION("""COMPUTED_VALUE"""),50)</f>
        <v>50</v>
      </c>
      <c r="F415" s="17">
        <f ca="1">IFERROR(__xludf.DUMMYFUNCTION("""COMPUTED_VALUE"""),0)</f>
        <v>0</v>
      </c>
      <c r="G415" s="18">
        <f ca="1">IFERROR(__xludf.DUMMYFUNCTION("""COMPUTED_VALUE"""),64)</f>
        <v>64</v>
      </c>
      <c r="H415" s="18">
        <f ca="1">IFERROR(__xludf.DUMMYFUNCTION("""COMPUTED_VALUE"""),0)</f>
        <v>0</v>
      </c>
      <c r="I415" s="19">
        <f ca="1">IFERROR(__xludf.DUMMYFUNCTION("""COMPUTED_VALUE"""),50)</f>
        <v>50</v>
      </c>
      <c r="J415" s="19">
        <f ca="1">IFERROR(__xludf.DUMMYFUNCTION("""COMPUTED_VALUE"""),0)</f>
        <v>0</v>
      </c>
      <c r="K415" s="20">
        <f ca="1">IFERROR(__xludf.DUMMYFUNCTION("""COMPUTED_VALUE"""),45)</f>
        <v>45</v>
      </c>
      <c r="L415" s="20">
        <f ca="1">IFERROR(__xludf.DUMMYFUNCTION("""COMPUTED_VALUE"""),0)</f>
        <v>0</v>
      </c>
      <c r="M415" s="21">
        <f ca="1">IFERROR(__xludf.DUMMYFUNCTION("""COMPUTED_VALUE"""),50)</f>
        <v>50</v>
      </c>
      <c r="N415" s="21">
        <f ca="1">IFERROR(__xludf.DUMMYFUNCTION("""COMPUTED_VALUE"""),0)</f>
        <v>0</v>
      </c>
      <c r="O415" s="22">
        <f ca="1">IFERROR(__xludf.DUMMYFUNCTION("""COMPUTED_VALUE"""),41)</f>
        <v>41</v>
      </c>
      <c r="P415" s="22">
        <f ca="1">IFERROR(__xludf.DUMMYFUNCTION("""COMPUTED_VALUE"""),0)</f>
        <v>0</v>
      </c>
      <c r="Q415" s="23">
        <f ca="1">IFERROR(__xludf.DUMMYFUNCTION("""COMPUTED_VALUE"""),300)</f>
        <v>300</v>
      </c>
      <c r="R415" s="23">
        <f ca="1">IFERROR(__xludf.DUMMYFUNCTION("""COMPUTED_VALUE"""),0)</f>
        <v>0</v>
      </c>
      <c r="S415" s="24" t="str">
        <f ca="1">IFERROR(__xludf.DUMMYFUNCTION("""COMPUTED_VALUE"""),"Guts")</f>
        <v>Guts</v>
      </c>
      <c r="T415" s="25"/>
      <c r="U415" s="24" t="str">
        <f ca="1">IFERROR(__xludf.DUMMYFUNCTION("""COMPUTED_VALUE"""),"Earth Eater")</f>
        <v>Earth Eater</v>
      </c>
      <c r="V415" s="25"/>
      <c r="W415" s="25"/>
      <c r="X415" s="25"/>
      <c r="Y415" s="25" t="str">
        <f ca="1">IFERROR(__xludf.DUMMYFUNCTION("""COMPUTED_VALUE"""),"The Stygian Caves (wild)")</f>
        <v>The Stygian Caves (wild)</v>
      </c>
    </row>
    <row r="416" spans="1:25" x14ac:dyDescent="0.25">
      <c r="A416" s="15" t="str">
        <f ca="1">IFERROR(__xludf.DUMMYFUNCTION("""COMPUTED_VALUE"""),"Pupitar")</f>
        <v>Pupitar</v>
      </c>
      <c r="B416" s="16">
        <f ca="1">IFERROR(__xludf.DUMMYFUNCTION("""COMPUTED_VALUE"""),415)</f>
        <v>415</v>
      </c>
      <c r="C416" s="3" t="str">
        <f ca="1">IFERROR(__xludf.DUMMYFUNCTION("""COMPUTED_VALUE"""),"Rock")</f>
        <v>Rock</v>
      </c>
      <c r="D416" s="3" t="str">
        <f ca="1">IFERROR(__xludf.DUMMYFUNCTION("""COMPUTED_VALUE"""),"Ground")</f>
        <v>Ground</v>
      </c>
      <c r="E416" s="17">
        <f ca="1">IFERROR(__xludf.DUMMYFUNCTION("""COMPUTED_VALUE"""),70)</f>
        <v>70</v>
      </c>
      <c r="F416" s="17">
        <f ca="1">IFERROR(__xludf.DUMMYFUNCTION("""COMPUTED_VALUE"""),0)</f>
        <v>0</v>
      </c>
      <c r="G416" s="18">
        <f ca="1">IFERROR(__xludf.DUMMYFUNCTION("""COMPUTED_VALUE"""),84)</f>
        <v>84</v>
      </c>
      <c r="H416" s="18">
        <f ca="1">IFERROR(__xludf.DUMMYFUNCTION("""COMPUTED_VALUE"""),0)</f>
        <v>0</v>
      </c>
      <c r="I416" s="19">
        <f ca="1">IFERROR(__xludf.DUMMYFUNCTION("""COMPUTED_VALUE"""),70)</f>
        <v>70</v>
      </c>
      <c r="J416" s="19">
        <f ca="1">IFERROR(__xludf.DUMMYFUNCTION("""COMPUTED_VALUE"""),0)</f>
        <v>0</v>
      </c>
      <c r="K416" s="20">
        <f ca="1">IFERROR(__xludf.DUMMYFUNCTION("""COMPUTED_VALUE"""),65)</f>
        <v>65</v>
      </c>
      <c r="L416" s="20">
        <f ca="1">IFERROR(__xludf.DUMMYFUNCTION("""COMPUTED_VALUE"""),0)</f>
        <v>0</v>
      </c>
      <c r="M416" s="21">
        <f ca="1">IFERROR(__xludf.DUMMYFUNCTION("""COMPUTED_VALUE"""),70)</f>
        <v>70</v>
      </c>
      <c r="N416" s="21">
        <f ca="1">IFERROR(__xludf.DUMMYFUNCTION("""COMPUTED_VALUE"""),0)</f>
        <v>0</v>
      </c>
      <c r="O416" s="22">
        <f ca="1">IFERROR(__xludf.DUMMYFUNCTION("""COMPUTED_VALUE"""),51)</f>
        <v>51</v>
      </c>
      <c r="P416" s="22">
        <f ca="1">IFERROR(__xludf.DUMMYFUNCTION("""COMPUTED_VALUE"""),0)</f>
        <v>0</v>
      </c>
      <c r="Q416" s="23">
        <f ca="1">IFERROR(__xludf.DUMMYFUNCTION("""COMPUTED_VALUE"""),410)</f>
        <v>410</v>
      </c>
      <c r="R416" s="23">
        <f ca="1">IFERROR(__xludf.DUMMYFUNCTION("""COMPUTED_VALUE"""),0)</f>
        <v>0</v>
      </c>
      <c r="S416" s="24" t="str">
        <f ca="1">IFERROR(__xludf.DUMMYFUNCTION("""COMPUTED_VALUE"""),"Shed Skin")</f>
        <v>Shed Skin</v>
      </c>
      <c r="T416" s="25"/>
      <c r="U416" s="24" t="str">
        <f ca="1">IFERROR(__xludf.DUMMYFUNCTION("""COMPUTED_VALUE"""),"Earth Eater")</f>
        <v>Earth Eater</v>
      </c>
      <c r="V416" s="25" t="str">
        <f ca="1">IFERROR(__xludf.DUMMYFUNCTION("""COMPUTED_VALUE"""),"Lv. 30")</f>
        <v>Lv. 30</v>
      </c>
      <c r="W416" s="25"/>
      <c r="X416" s="25"/>
      <c r="Y416" s="25" t="str">
        <f ca="1">IFERROR(__xludf.DUMMYFUNCTION("""COMPUTED_VALUE"""),"Larvitar (evolve)")</f>
        <v>Larvitar (evolve)</v>
      </c>
    </row>
    <row r="417" spans="1:25" x14ac:dyDescent="0.25">
      <c r="A417" s="15" t="str">
        <f ca="1">IFERROR(__xludf.DUMMYFUNCTION("""COMPUTED_VALUE"""),"Tyranitar")</f>
        <v>Tyranitar</v>
      </c>
      <c r="B417" s="16">
        <f ca="1">IFERROR(__xludf.DUMMYFUNCTION("""COMPUTED_VALUE"""),416)</f>
        <v>416</v>
      </c>
      <c r="C417" s="3" t="str">
        <f ca="1">IFERROR(__xludf.DUMMYFUNCTION("""COMPUTED_VALUE"""),"Rock")</f>
        <v>Rock</v>
      </c>
      <c r="D417" s="3" t="str">
        <f ca="1">IFERROR(__xludf.DUMMYFUNCTION("""COMPUTED_VALUE"""),"Dark")</f>
        <v>Dark</v>
      </c>
      <c r="E417" s="17">
        <f ca="1">IFERROR(__xludf.DUMMYFUNCTION("""COMPUTED_VALUE"""),100)</f>
        <v>100</v>
      </c>
      <c r="F417" s="17">
        <f ca="1">IFERROR(__xludf.DUMMYFUNCTION("""COMPUTED_VALUE"""),0)</f>
        <v>0</v>
      </c>
      <c r="G417" s="18">
        <f ca="1">IFERROR(__xludf.DUMMYFUNCTION("""COMPUTED_VALUE"""),134)</f>
        <v>134</v>
      </c>
      <c r="H417" s="18">
        <f ca="1">IFERROR(__xludf.DUMMYFUNCTION("""COMPUTED_VALUE"""),0)</f>
        <v>0</v>
      </c>
      <c r="I417" s="19">
        <f ca="1">IFERROR(__xludf.DUMMYFUNCTION("""COMPUTED_VALUE"""),110)</f>
        <v>110</v>
      </c>
      <c r="J417" s="19">
        <f ca="1">IFERROR(__xludf.DUMMYFUNCTION("""COMPUTED_VALUE"""),0)</f>
        <v>0</v>
      </c>
      <c r="K417" s="20">
        <f ca="1">IFERROR(__xludf.DUMMYFUNCTION("""COMPUTED_VALUE"""),95)</f>
        <v>95</v>
      </c>
      <c r="L417" s="20">
        <f ca="1">IFERROR(__xludf.DUMMYFUNCTION("""COMPUTED_VALUE"""),0)</f>
        <v>0</v>
      </c>
      <c r="M417" s="21">
        <f ca="1">IFERROR(__xludf.DUMMYFUNCTION("""COMPUTED_VALUE"""),100)</f>
        <v>100</v>
      </c>
      <c r="N417" s="21">
        <f ca="1">IFERROR(__xludf.DUMMYFUNCTION("""COMPUTED_VALUE"""),0)</f>
        <v>0</v>
      </c>
      <c r="O417" s="22">
        <f ca="1">IFERROR(__xludf.DUMMYFUNCTION("""COMPUTED_VALUE"""),61)</f>
        <v>61</v>
      </c>
      <c r="P417" s="22">
        <f ca="1">IFERROR(__xludf.DUMMYFUNCTION("""COMPUTED_VALUE"""),0)</f>
        <v>0</v>
      </c>
      <c r="Q417" s="23">
        <f ca="1">IFERROR(__xludf.DUMMYFUNCTION("""COMPUTED_VALUE"""),600)</f>
        <v>600</v>
      </c>
      <c r="R417" s="23">
        <f ca="1">IFERROR(__xludf.DUMMYFUNCTION("""COMPUTED_VALUE"""),0)</f>
        <v>0</v>
      </c>
      <c r="S417" s="24" t="str">
        <f ca="1">IFERROR(__xludf.DUMMYFUNCTION("""COMPUTED_VALUE"""),"Sand Stream")</f>
        <v>Sand Stream</v>
      </c>
      <c r="T417" s="25"/>
      <c r="U417" s="24" t="str">
        <f ca="1">IFERROR(__xludf.DUMMYFUNCTION("""COMPUTED_VALUE"""),"Earth Eater")</f>
        <v>Earth Eater</v>
      </c>
      <c r="V417" s="25" t="str">
        <f ca="1">IFERROR(__xludf.DUMMYFUNCTION("""COMPUTED_VALUE"""),"Lv. 55")</f>
        <v>Lv. 55</v>
      </c>
      <c r="W417" s="25"/>
      <c r="X417" s="25"/>
      <c r="Y417" s="25" t="str">
        <f ca="1">IFERROR(__xludf.DUMMYFUNCTION("""COMPUTED_VALUE"""),"The Stygian Caves (wild)")</f>
        <v>The Stygian Caves (wild)</v>
      </c>
    </row>
    <row r="418" spans="1:25" x14ac:dyDescent="0.25">
      <c r="A418" s="15" t="str">
        <f ca="1">IFERROR(__xludf.DUMMYFUNCTION("""COMPUTED_VALUE"""),"Dhelmise")</f>
        <v>Dhelmise</v>
      </c>
      <c r="B418" s="16">
        <f ca="1">IFERROR(__xludf.DUMMYFUNCTION("""COMPUTED_VALUE"""),417)</f>
        <v>417</v>
      </c>
      <c r="C418" s="3" t="str">
        <f ca="1">IFERROR(__xludf.DUMMYFUNCTION("""COMPUTED_VALUE"""),"Ghost")</f>
        <v>Ghost</v>
      </c>
      <c r="D418" s="3" t="str">
        <f ca="1">IFERROR(__xludf.DUMMYFUNCTION("""COMPUTED_VALUE"""),"Grass")</f>
        <v>Grass</v>
      </c>
      <c r="E418" s="17">
        <f ca="1">IFERROR(__xludf.DUMMYFUNCTION("""COMPUTED_VALUE"""),80)</f>
        <v>80</v>
      </c>
      <c r="F418" s="17">
        <f ca="1">IFERROR(__xludf.DUMMYFUNCTION("""COMPUTED_VALUE"""),10)</f>
        <v>10</v>
      </c>
      <c r="G418" s="18">
        <f ca="1">IFERROR(__xludf.DUMMYFUNCTION("""COMPUTED_VALUE"""),131)</f>
        <v>131</v>
      </c>
      <c r="H418" s="18">
        <f ca="1">IFERROR(__xludf.DUMMYFUNCTION("""COMPUTED_VALUE"""),0)</f>
        <v>0</v>
      </c>
      <c r="I418" s="19">
        <f ca="1">IFERROR(__xludf.DUMMYFUNCTION("""COMPUTED_VALUE"""),120)</f>
        <v>120</v>
      </c>
      <c r="J418" s="19">
        <f ca="1">IFERROR(__xludf.DUMMYFUNCTION("""COMPUTED_VALUE"""),20)</f>
        <v>20</v>
      </c>
      <c r="K418" s="20">
        <f ca="1">IFERROR(__xludf.DUMMYFUNCTION("""COMPUTED_VALUE"""),76)</f>
        <v>76</v>
      </c>
      <c r="L418" s="20">
        <f ca="1">IFERROR(__xludf.DUMMYFUNCTION("""COMPUTED_VALUE"""),-10)</f>
        <v>-10</v>
      </c>
      <c r="M418" s="21">
        <f ca="1">IFERROR(__xludf.DUMMYFUNCTION("""COMPUTED_VALUE"""),93)</f>
        <v>93</v>
      </c>
      <c r="N418" s="21">
        <f ca="1">IFERROR(__xludf.DUMMYFUNCTION("""COMPUTED_VALUE"""),3)</f>
        <v>3</v>
      </c>
      <c r="O418" s="22">
        <f ca="1">IFERROR(__xludf.DUMMYFUNCTION("""COMPUTED_VALUE"""),20)</f>
        <v>20</v>
      </c>
      <c r="P418" s="22">
        <f ca="1">IFERROR(__xludf.DUMMYFUNCTION("""COMPUTED_VALUE"""),-20)</f>
        <v>-20</v>
      </c>
      <c r="Q418" s="23">
        <f ca="1">IFERROR(__xludf.DUMMYFUNCTION("""COMPUTED_VALUE"""),520)</f>
        <v>520</v>
      </c>
      <c r="R418" s="23">
        <f ca="1">IFERROR(__xludf.DUMMYFUNCTION("""COMPUTED_VALUE"""),3)</f>
        <v>3</v>
      </c>
      <c r="S418" s="24" t="str">
        <f ca="1">IFERROR(__xludf.DUMMYFUNCTION("""COMPUTED_VALUE"""),"Steelworker")</f>
        <v>Steelworker</v>
      </c>
      <c r="T418" s="25"/>
      <c r="U418" s="25"/>
      <c r="V418" s="25"/>
      <c r="W418" s="25"/>
      <c r="X418" s="25"/>
      <c r="Y418" s="25" t="str">
        <f ca="1">IFERROR(__xludf.DUMMYFUNCTION("""COMPUTED_VALUE"""),"Palati City (wild)")</f>
        <v>Palati City (wild)</v>
      </c>
    </row>
    <row r="419" spans="1:25" x14ac:dyDescent="0.25">
      <c r="A419" s="15" t="str">
        <f ca="1">IFERROR(__xludf.DUMMYFUNCTION("""COMPUTED_VALUE"""),"Dratini")</f>
        <v>Dratini</v>
      </c>
      <c r="B419" s="16">
        <f ca="1">IFERROR(__xludf.DUMMYFUNCTION("""COMPUTED_VALUE"""),418)</f>
        <v>418</v>
      </c>
      <c r="C419" s="3" t="str">
        <f ca="1">IFERROR(__xludf.DUMMYFUNCTION("""COMPUTED_VALUE"""),"Dragon")</f>
        <v>Dragon</v>
      </c>
      <c r="D419" s="3"/>
      <c r="E419" s="17">
        <f ca="1">IFERROR(__xludf.DUMMYFUNCTION("""COMPUTED_VALUE"""),41)</f>
        <v>41</v>
      </c>
      <c r="F419" s="17">
        <f ca="1">IFERROR(__xludf.DUMMYFUNCTION("""COMPUTED_VALUE"""),0)</f>
        <v>0</v>
      </c>
      <c r="G419" s="18">
        <f ca="1">IFERROR(__xludf.DUMMYFUNCTION("""COMPUTED_VALUE"""),64)</f>
        <v>64</v>
      </c>
      <c r="H419" s="18">
        <f ca="1">IFERROR(__xludf.DUMMYFUNCTION("""COMPUTED_VALUE"""),0)</f>
        <v>0</v>
      </c>
      <c r="I419" s="19">
        <f ca="1">IFERROR(__xludf.DUMMYFUNCTION("""COMPUTED_VALUE"""),45)</f>
        <v>45</v>
      </c>
      <c r="J419" s="19">
        <f ca="1">IFERROR(__xludf.DUMMYFUNCTION("""COMPUTED_VALUE"""),0)</f>
        <v>0</v>
      </c>
      <c r="K419" s="20">
        <f ca="1">IFERROR(__xludf.DUMMYFUNCTION("""COMPUTED_VALUE"""),50)</f>
        <v>50</v>
      </c>
      <c r="L419" s="20">
        <f ca="1">IFERROR(__xludf.DUMMYFUNCTION("""COMPUTED_VALUE"""),0)</f>
        <v>0</v>
      </c>
      <c r="M419" s="21">
        <f ca="1">IFERROR(__xludf.DUMMYFUNCTION("""COMPUTED_VALUE"""),50)</f>
        <v>50</v>
      </c>
      <c r="N419" s="21">
        <f ca="1">IFERROR(__xludf.DUMMYFUNCTION("""COMPUTED_VALUE"""),0)</f>
        <v>0</v>
      </c>
      <c r="O419" s="22">
        <f ca="1">IFERROR(__xludf.DUMMYFUNCTION("""COMPUTED_VALUE"""),50)</f>
        <v>50</v>
      </c>
      <c r="P419" s="22">
        <f ca="1">IFERROR(__xludf.DUMMYFUNCTION("""COMPUTED_VALUE"""),0)</f>
        <v>0</v>
      </c>
      <c r="Q419" s="23">
        <f ca="1">IFERROR(__xludf.DUMMYFUNCTION("""COMPUTED_VALUE"""),300)</f>
        <v>300</v>
      </c>
      <c r="R419" s="23">
        <f ca="1">IFERROR(__xludf.DUMMYFUNCTION("""COMPUTED_VALUE"""),0)</f>
        <v>0</v>
      </c>
      <c r="S419" s="24" t="str">
        <f ca="1">IFERROR(__xludf.DUMMYFUNCTION("""COMPUTED_VALUE"""),"Shed Skin")</f>
        <v>Shed Skin</v>
      </c>
      <c r="T419" s="25"/>
      <c r="U419" s="24" t="str">
        <f ca="1">IFERROR(__xludf.DUMMYFUNCTION("""COMPUTED_VALUE"""),"Marvel Scale")</f>
        <v>Marvel Scale</v>
      </c>
      <c r="V419" s="25"/>
      <c r="W419" s="25"/>
      <c r="X419" s="25" t="str">
        <f ca="1">IFERROR(__xludf.DUMMYFUNCTION("""COMPUTED_VALUE"""),"Dragon Scale")</f>
        <v>Dragon Scale</v>
      </c>
      <c r="Y419" s="25" t="str">
        <f ca="1">IFERROR(__xludf.DUMMYFUNCTION("""COMPUTED_VALUE"""),"Pythios Cemetery (GR) Pythios Cemetery (SR)(fish) Fresco Isles")</f>
        <v>Pythios Cemetery (GR) Pythios Cemetery (SR)(fish) Fresco Isles</v>
      </c>
    </row>
    <row r="420" spans="1:25" x14ac:dyDescent="0.25">
      <c r="A420" s="15" t="str">
        <f ca="1">IFERROR(__xludf.DUMMYFUNCTION("""COMPUTED_VALUE"""),"Dragonair")</f>
        <v>Dragonair</v>
      </c>
      <c r="B420" s="16">
        <f ca="1">IFERROR(__xludf.DUMMYFUNCTION("""COMPUTED_VALUE"""),419)</f>
        <v>419</v>
      </c>
      <c r="C420" s="3" t="str">
        <f ca="1">IFERROR(__xludf.DUMMYFUNCTION("""COMPUTED_VALUE"""),"Dragon")</f>
        <v>Dragon</v>
      </c>
      <c r="D420" s="3" t="str">
        <f ca="1">IFERROR(__xludf.DUMMYFUNCTION("""COMPUTED_VALUE"""),"Water")</f>
        <v>Water</v>
      </c>
      <c r="E420" s="17">
        <f ca="1">IFERROR(__xludf.DUMMYFUNCTION("""COMPUTED_VALUE"""),66)</f>
        <v>66</v>
      </c>
      <c r="F420" s="17">
        <f ca="1">IFERROR(__xludf.DUMMYFUNCTION("""COMPUTED_VALUE"""),5)</f>
        <v>5</v>
      </c>
      <c r="G420" s="18">
        <f ca="1">IFERROR(__xludf.DUMMYFUNCTION("""COMPUTED_VALUE"""),84)</f>
        <v>84</v>
      </c>
      <c r="H420" s="18">
        <f ca="1">IFERROR(__xludf.DUMMYFUNCTION("""COMPUTED_VALUE"""),0)</f>
        <v>0</v>
      </c>
      <c r="I420" s="19">
        <f ca="1">IFERROR(__xludf.DUMMYFUNCTION("""COMPUTED_VALUE"""),70)</f>
        <v>70</v>
      </c>
      <c r="J420" s="19">
        <f ca="1">IFERROR(__xludf.DUMMYFUNCTION("""COMPUTED_VALUE"""),5)</f>
        <v>5</v>
      </c>
      <c r="K420" s="20">
        <f ca="1">IFERROR(__xludf.DUMMYFUNCTION("""COMPUTED_VALUE"""),114)</f>
        <v>114</v>
      </c>
      <c r="L420" s="20">
        <f ca="1">IFERROR(__xludf.DUMMYFUNCTION("""COMPUTED_VALUE"""),44)</f>
        <v>44</v>
      </c>
      <c r="M420" s="21">
        <f ca="1">IFERROR(__xludf.DUMMYFUNCTION("""COMPUTED_VALUE"""),90)</f>
        <v>90</v>
      </c>
      <c r="N420" s="21">
        <f ca="1">IFERROR(__xludf.DUMMYFUNCTION("""COMPUTED_VALUE"""),20)</f>
        <v>20</v>
      </c>
      <c r="O420" s="22">
        <f ca="1">IFERROR(__xludf.DUMMYFUNCTION("""COMPUTED_VALUE"""),76)</f>
        <v>76</v>
      </c>
      <c r="P420" s="22">
        <f ca="1">IFERROR(__xludf.DUMMYFUNCTION("""COMPUTED_VALUE"""),6)</f>
        <v>6</v>
      </c>
      <c r="Q420" s="23">
        <f ca="1">IFERROR(__xludf.DUMMYFUNCTION("""COMPUTED_VALUE"""),500)</f>
        <v>500</v>
      </c>
      <c r="R420" s="23">
        <f ca="1">IFERROR(__xludf.DUMMYFUNCTION("""COMPUTED_VALUE"""),80)</f>
        <v>80</v>
      </c>
      <c r="S420" s="24" t="str">
        <f ca="1">IFERROR(__xludf.DUMMYFUNCTION("""COMPUTED_VALUE"""),"Shed Skin")</f>
        <v>Shed Skin</v>
      </c>
      <c r="T420" s="25"/>
      <c r="U420" s="24" t="str">
        <f ca="1">IFERROR(__xludf.DUMMYFUNCTION("""COMPUTED_VALUE"""),"Atmospheric")</f>
        <v>Atmospheric</v>
      </c>
      <c r="V420" s="25" t="str">
        <f ca="1">IFERROR(__xludf.DUMMYFUNCTION("""COMPUTED_VALUE"""),"Lv. 30")</f>
        <v>Lv. 30</v>
      </c>
      <c r="W420" s="25"/>
      <c r="X420" s="25" t="str">
        <f ca="1">IFERROR(__xludf.DUMMYFUNCTION("""COMPUTED_VALUE"""),"Dragon Scale")</f>
        <v>Dragon Scale</v>
      </c>
      <c r="Y420" s="25" t="str">
        <f ca="1">IFERROR(__xludf.DUMMYFUNCTION("""COMPUTED_VALUE"""),"Pythios Cemetery (SR)(fish)")</f>
        <v>Pythios Cemetery (SR)(fish)</v>
      </c>
    </row>
    <row r="421" spans="1:25" x14ac:dyDescent="0.25">
      <c r="A421" s="15" t="str">
        <f ca="1">IFERROR(__xludf.DUMMYFUNCTION("""COMPUTED_VALUE"""),"Dragonite")</f>
        <v>Dragonite</v>
      </c>
      <c r="B421" s="16">
        <f ca="1">IFERROR(__xludf.DUMMYFUNCTION("""COMPUTED_VALUE"""),420)</f>
        <v>420</v>
      </c>
      <c r="C421" s="3" t="str">
        <f ca="1">IFERROR(__xludf.DUMMYFUNCTION("""COMPUTED_VALUE"""),"Dragon")</f>
        <v>Dragon</v>
      </c>
      <c r="D421" s="3" t="str">
        <f ca="1">IFERROR(__xludf.DUMMYFUNCTION("""COMPUTED_VALUE"""),"Flying")</f>
        <v>Flying</v>
      </c>
      <c r="E421" s="17">
        <f ca="1">IFERROR(__xludf.DUMMYFUNCTION("""COMPUTED_VALUE"""),91)</f>
        <v>91</v>
      </c>
      <c r="F421" s="17">
        <f ca="1">IFERROR(__xludf.DUMMYFUNCTION("""COMPUTED_VALUE"""),0)</f>
        <v>0</v>
      </c>
      <c r="G421" s="18">
        <f ca="1">IFERROR(__xludf.DUMMYFUNCTION("""COMPUTED_VALUE"""),134)</f>
        <v>134</v>
      </c>
      <c r="H421" s="18">
        <f ca="1">IFERROR(__xludf.DUMMYFUNCTION("""COMPUTED_VALUE"""),0)</f>
        <v>0</v>
      </c>
      <c r="I421" s="19">
        <f ca="1">IFERROR(__xludf.DUMMYFUNCTION("""COMPUTED_VALUE"""),95)</f>
        <v>95</v>
      </c>
      <c r="J421" s="19">
        <f ca="1">IFERROR(__xludf.DUMMYFUNCTION("""COMPUTED_VALUE"""),0)</f>
        <v>0</v>
      </c>
      <c r="K421" s="20">
        <f ca="1">IFERROR(__xludf.DUMMYFUNCTION("""COMPUTED_VALUE"""),100)</f>
        <v>100</v>
      </c>
      <c r="L421" s="20">
        <f ca="1">IFERROR(__xludf.DUMMYFUNCTION("""COMPUTED_VALUE"""),0)</f>
        <v>0</v>
      </c>
      <c r="M421" s="21">
        <f ca="1">IFERROR(__xludf.DUMMYFUNCTION("""COMPUTED_VALUE"""),100)</f>
        <v>100</v>
      </c>
      <c r="N421" s="21">
        <f ca="1">IFERROR(__xludf.DUMMYFUNCTION("""COMPUTED_VALUE"""),0)</f>
        <v>0</v>
      </c>
      <c r="O421" s="22">
        <f ca="1">IFERROR(__xludf.DUMMYFUNCTION("""COMPUTED_VALUE"""),80)</f>
        <v>80</v>
      </c>
      <c r="P421" s="22">
        <f ca="1">IFERROR(__xludf.DUMMYFUNCTION("""COMPUTED_VALUE"""),0)</f>
        <v>0</v>
      </c>
      <c r="Q421" s="23">
        <f ca="1">IFERROR(__xludf.DUMMYFUNCTION("""COMPUTED_VALUE"""),600)</f>
        <v>600</v>
      </c>
      <c r="R421" s="23">
        <f ca="1">IFERROR(__xludf.DUMMYFUNCTION("""COMPUTED_VALUE"""),0)</f>
        <v>0</v>
      </c>
      <c r="S421" s="24" t="str">
        <f ca="1">IFERROR(__xludf.DUMMYFUNCTION("""COMPUTED_VALUE"""),"Inner Focus")</f>
        <v>Inner Focus</v>
      </c>
      <c r="T421" s="25"/>
      <c r="U421" s="24" t="str">
        <f ca="1">IFERROR(__xludf.DUMMYFUNCTION("""COMPUTED_VALUE"""),"Multiscale")</f>
        <v>Multiscale</v>
      </c>
      <c r="V421" s="25" t="str">
        <f ca="1">IFERROR(__xludf.DUMMYFUNCTION("""COMPUTED_VALUE"""),"Lv. 55")</f>
        <v>Lv. 55</v>
      </c>
      <c r="W421" s="25"/>
      <c r="X421" s="25" t="str">
        <f ca="1">IFERROR(__xludf.DUMMYFUNCTION("""COMPUTED_VALUE"""),"Dragon Scale")</f>
        <v>Dragon Scale</v>
      </c>
      <c r="Y421" s="25" t="str">
        <f ca="1">IFERROR(__xludf.DUMMYFUNCTION("""COMPUTED_VALUE"""),"Dragonair (evolve)")</f>
        <v>Dragonair (evolve)</v>
      </c>
    </row>
    <row r="422" spans="1:25" x14ac:dyDescent="0.25">
      <c r="A422" s="15" t="str">
        <f ca="1">IFERROR(__xludf.DUMMYFUNCTION("""COMPUTED_VALUE"""),"Raikou")</f>
        <v>Raikou</v>
      </c>
      <c r="B422" s="16">
        <f ca="1">IFERROR(__xludf.DUMMYFUNCTION("""COMPUTED_VALUE"""),421)</f>
        <v>421</v>
      </c>
      <c r="C422" s="3" t="str">
        <f ca="1">IFERROR(__xludf.DUMMYFUNCTION("""COMPUTED_VALUE"""),"Electric")</f>
        <v>Electric</v>
      </c>
      <c r="D422" s="3"/>
      <c r="E422" s="17">
        <f ca="1">IFERROR(__xludf.DUMMYFUNCTION("""COMPUTED_VALUE"""),90)</f>
        <v>90</v>
      </c>
      <c r="F422" s="17">
        <f ca="1">IFERROR(__xludf.DUMMYFUNCTION("""COMPUTED_VALUE"""),0)</f>
        <v>0</v>
      </c>
      <c r="G422" s="18">
        <f ca="1">IFERROR(__xludf.DUMMYFUNCTION("""COMPUTED_VALUE"""),85)</f>
        <v>85</v>
      </c>
      <c r="H422" s="18">
        <f ca="1">IFERROR(__xludf.DUMMYFUNCTION("""COMPUTED_VALUE"""),0)</f>
        <v>0</v>
      </c>
      <c r="I422" s="19">
        <f ca="1">IFERROR(__xludf.DUMMYFUNCTION("""COMPUTED_VALUE"""),65)</f>
        <v>65</v>
      </c>
      <c r="J422" s="19">
        <f ca="1">IFERROR(__xludf.DUMMYFUNCTION("""COMPUTED_VALUE"""),-10)</f>
        <v>-10</v>
      </c>
      <c r="K422" s="20">
        <f ca="1">IFERROR(__xludf.DUMMYFUNCTION("""COMPUTED_VALUE"""),115)</f>
        <v>115</v>
      </c>
      <c r="L422" s="20">
        <f ca="1">IFERROR(__xludf.DUMMYFUNCTION("""COMPUTED_VALUE"""),0)</f>
        <v>0</v>
      </c>
      <c r="M422" s="21">
        <f ca="1">IFERROR(__xludf.DUMMYFUNCTION("""COMPUTED_VALUE"""),90)</f>
        <v>90</v>
      </c>
      <c r="N422" s="21">
        <f ca="1">IFERROR(__xludf.DUMMYFUNCTION("""COMPUTED_VALUE"""),-10)</f>
        <v>-10</v>
      </c>
      <c r="O422" s="22">
        <f ca="1">IFERROR(__xludf.DUMMYFUNCTION("""COMPUTED_VALUE"""),115)</f>
        <v>115</v>
      </c>
      <c r="P422" s="22">
        <f ca="1">IFERROR(__xludf.DUMMYFUNCTION("""COMPUTED_VALUE"""),0)</f>
        <v>0</v>
      </c>
      <c r="Q422" s="23">
        <f ca="1">IFERROR(__xludf.DUMMYFUNCTION("""COMPUTED_VALUE"""),560)</f>
        <v>560</v>
      </c>
      <c r="R422" s="23">
        <f ca="1">IFERROR(__xludf.DUMMYFUNCTION("""COMPUTED_VALUE"""),-20)</f>
        <v>-20</v>
      </c>
      <c r="S422" s="24" t="str">
        <f ca="1">IFERROR(__xludf.DUMMYFUNCTION("""COMPUTED_VALUE"""),"Pressure")</f>
        <v>Pressure</v>
      </c>
      <c r="T422" s="25"/>
      <c r="U422" s="24" t="str">
        <f ca="1">IFERROR(__xludf.DUMMYFUNCTION("""COMPUTED_VALUE"""),"Inner Focus")</f>
        <v>Inner Focus</v>
      </c>
      <c r="V422" s="25"/>
      <c r="W422" s="25"/>
      <c r="X422" s="25"/>
      <c r="Y422" s="25"/>
    </row>
    <row r="423" spans="1:25" x14ac:dyDescent="0.25">
      <c r="A423" s="15" t="str">
        <f ca="1">IFERROR(__xludf.DUMMYFUNCTION("""COMPUTED_VALUE"""),"Raging Bolt")</f>
        <v>Raging Bolt</v>
      </c>
      <c r="B423" s="16">
        <f ca="1">IFERROR(__xludf.DUMMYFUNCTION("""COMPUTED_VALUE"""),422)</f>
        <v>422</v>
      </c>
      <c r="C423" s="3" t="str">
        <f ca="1">IFERROR(__xludf.DUMMYFUNCTION("""COMPUTED_VALUE"""),"Electric")</f>
        <v>Electric</v>
      </c>
      <c r="D423" s="3" t="str">
        <f ca="1">IFERROR(__xludf.DUMMYFUNCTION("""COMPUTED_VALUE"""),"Dragon")</f>
        <v>Dragon</v>
      </c>
      <c r="E423" s="17">
        <f ca="1">IFERROR(__xludf.DUMMYFUNCTION("""COMPUTED_VALUE"""),135)</f>
        <v>135</v>
      </c>
      <c r="F423" s="17">
        <f ca="1">IFERROR(__xludf.DUMMYFUNCTION("""COMPUTED_VALUE"""),10)</f>
        <v>10</v>
      </c>
      <c r="G423" s="18">
        <f ca="1">IFERROR(__xludf.DUMMYFUNCTION("""COMPUTED_VALUE"""),73)</f>
        <v>73</v>
      </c>
      <c r="H423" s="18">
        <f ca="1">IFERROR(__xludf.DUMMYFUNCTION("""COMPUTED_VALUE"""),0)</f>
        <v>0</v>
      </c>
      <c r="I423" s="19">
        <f ca="1">IFERROR(__xludf.DUMMYFUNCTION("""COMPUTED_VALUE"""),91)</f>
        <v>91</v>
      </c>
      <c r="J423" s="19">
        <f ca="1">IFERROR(__xludf.DUMMYFUNCTION("""COMPUTED_VALUE"""),0)</f>
        <v>0</v>
      </c>
      <c r="K423" s="20">
        <f ca="1">IFERROR(__xludf.DUMMYFUNCTION("""COMPUTED_VALUE"""),137)</f>
        <v>137</v>
      </c>
      <c r="L423" s="20">
        <f ca="1">IFERROR(__xludf.DUMMYFUNCTION("""COMPUTED_VALUE"""),0)</f>
        <v>0</v>
      </c>
      <c r="M423" s="21">
        <f ca="1">IFERROR(__xludf.DUMMYFUNCTION("""COMPUTED_VALUE"""),89)</f>
        <v>89</v>
      </c>
      <c r="N423" s="21">
        <f ca="1">IFERROR(__xludf.DUMMYFUNCTION("""COMPUTED_VALUE"""),0)</f>
        <v>0</v>
      </c>
      <c r="O423" s="22">
        <f ca="1">IFERROR(__xludf.DUMMYFUNCTION("""COMPUTED_VALUE"""),75)</f>
        <v>75</v>
      </c>
      <c r="P423" s="22">
        <f ca="1">IFERROR(__xludf.DUMMYFUNCTION("""COMPUTED_VALUE"""),0)</f>
        <v>0</v>
      </c>
      <c r="Q423" s="23">
        <f ca="1">IFERROR(__xludf.DUMMYFUNCTION("""COMPUTED_VALUE"""),600)</f>
        <v>600</v>
      </c>
      <c r="R423" s="23">
        <f ca="1">IFERROR(__xludf.DUMMYFUNCTION("""COMPUTED_VALUE"""),10)</f>
        <v>10</v>
      </c>
      <c r="S423" s="25" t="str">
        <f ca="1">IFERROR(__xludf.DUMMYFUNCTION("""COMPUTED_VALUE"""),"Protosynthesis")</f>
        <v>Protosynthesis</v>
      </c>
      <c r="T423" s="25"/>
      <c r="U423" s="25" t="str">
        <f ca="1">IFERROR(__xludf.DUMMYFUNCTION("""COMPUTED_VALUE"""),"Protosynthesis")</f>
        <v>Protosynthesis</v>
      </c>
      <c r="V423" s="25" t="str">
        <f ca="1">IFERROR(__xludf.DUMMYFUNCTION("""COMPUTED_VALUE"""),"Lv. after using Dragon Energy 20x")</f>
        <v>Lv. after using Dragon Energy 20x</v>
      </c>
      <c r="W423" s="25"/>
      <c r="X423" s="25" t="str">
        <f ca="1">IFERROR(__xludf.DUMMYFUNCTION("""COMPUTED_VALUE"""),"Booster Energy")</f>
        <v>Booster Energy</v>
      </c>
      <c r="Y423" s="25"/>
    </row>
    <row r="424" spans="1:25" x14ac:dyDescent="0.25">
      <c r="A424" s="15" t="str">
        <f ca="1">IFERROR(__xludf.DUMMYFUNCTION("""COMPUTED_VALUE"""),"Entei")</f>
        <v>Entei</v>
      </c>
      <c r="B424" s="16">
        <f ca="1">IFERROR(__xludf.DUMMYFUNCTION("""COMPUTED_VALUE"""),423)</f>
        <v>423</v>
      </c>
      <c r="C424" s="3" t="str">
        <f ca="1">IFERROR(__xludf.DUMMYFUNCTION("""COMPUTED_VALUE"""),"Fire")</f>
        <v>Fire</v>
      </c>
      <c r="D424" s="3"/>
      <c r="E424" s="17">
        <f ca="1">IFERROR(__xludf.DUMMYFUNCTION("""COMPUTED_VALUE"""),115)</f>
        <v>115</v>
      </c>
      <c r="F424" s="17">
        <f ca="1">IFERROR(__xludf.DUMMYFUNCTION("""COMPUTED_VALUE"""),0)</f>
        <v>0</v>
      </c>
      <c r="G424" s="18">
        <f ca="1">IFERROR(__xludf.DUMMYFUNCTION("""COMPUTED_VALUE"""),115)</f>
        <v>115</v>
      </c>
      <c r="H424" s="18">
        <f ca="1">IFERROR(__xludf.DUMMYFUNCTION("""COMPUTED_VALUE"""),0)</f>
        <v>0</v>
      </c>
      <c r="I424" s="19">
        <f ca="1">IFERROR(__xludf.DUMMYFUNCTION("""COMPUTED_VALUE"""),85)</f>
        <v>85</v>
      </c>
      <c r="J424" s="19">
        <f ca="1">IFERROR(__xludf.DUMMYFUNCTION("""COMPUTED_VALUE"""),0)</f>
        <v>0</v>
      </c>
      <c r="K424" s="20">
        <f ca="1">IFERROR(__xludf.DUMMYFUNCTION("""COMPUTED_VALUE"""),90)</f>
        <v>90</v>
      </c>
      <c r="L424" s="20">
        <f ca="1">IFERROR(__xludf.DUMMYFUNCTION("""COMPUTED_VALUE"""),0)</f>
        <v>0</v>
      </c>
      <c r="M424" s="21">
        <f ca="1">IFERROR(__xludf.DUMMYFUNCTION("""COMPUTED_VALUE"""),65)</f>
        <v>65</v>
      </c>
      <c r="N424" s="21">
        <f ca="1">IFERROR(__xludf.DUMMYFUNCTION("""COMPUTED_VALUE"""),-10)</f>
        <v>-10</v>
      </c>
      <c r="O424" s="22">
        <f ca="1">IFERROR(__xludf.DUMMYFUNCTION("""COMPUTED_VALUE"""),90)</f>
        <v>90</v>
      </c>
      <c r="P424" s="22">
        <f ca="1">IFERROR(__xludf.DUMMYFUNCTION("""COMPUTED_VALUE"""),-10)</f>
        <v>-10</v>
      </c>
      <c r="Q424" s="23">
        <f ca="1">IFERROR(__xludf.DUMMYFUNCTION("""COMPUTED_VALUE"""),560)</f>
        <v>560</v>
      </c>
      <c r="R424" s="23">
        <f ca="1">IFERROR(__xludf.DUMMYFUNCTION("""COMPUTED_VALUE"""),-20)</f>
        <v>-20</v>
      </c>
      <c r="S424" s="24" t="str">
        <f ca="1">IFERROR(__xludf.DUMMYFUNCTION("""COMPUTED_VALUE"""),"Pressure")</f>
        <v>Pressure</v>
      </c>
      <c r="T424" s="25"/>
      <c r="U424" s="24" t="str">
        <f ca="1">IFERROR(__xludf.DUMMYFUNCTION("""COMPUTED_VALUE"""),"Inner Focus")</f>
        <v>Inner Focus</v>
      </c>
      <c r="V424" s="25"/>
      <c r="W424" s="25"/>
      <c r="X424" s="25"/>
      <c r="Y424" s="25"/>
    </row>
    <row r="425" spans="1:25" x14ac:dyDescent="0.25">
      <c r="A425" s="15" t="str">
        <f ca="1">IFERROR(__xludf.DUMMYFUNCTION("""COMPUTED_VALUE"""),"Gouging Fire")</f>
        <v>Gouging Fire</v>
      </c>
      <c r="B425" s="16">
        <f ca="1">IFERROR(__xludf.DUMMYFUNCTION("""COMPUTED_VALUE"""),424)</f>
        <v>424</v>
      </c>
      <c r="C425" s="3" t="str">
        <f ca="1">IFERROR(__xludf.DUMMYFUNCTION("""COMPUTED_VALUE"""),"Fire")</f>
        <v>Fire</v>
      </c>
      <c r="D425" s="3" t="str">
        <f ca="1">IFERROR(__xludf.DUMMYFUNCTION("""COMPUTED_VALUE"""),"Dragon")</f>
        <v>Dragon</v>
      </c>
      <c r="E425" s="17">
        <f ca="1">IFERROR(__xludf.DUMMYFUNCTION("""COMPUTED_VALUE"""),105)</f>
        <v>105</v>
      </c>
      <c r="F425" s="17">
        <f ca="1">IFERROR(__xludf.DUMMYFUNCTION("""COMPUTED_VALUE"""),0)</f>
        <v>0</v>
      </c>
      <c r="G425" s="18">
        <f ca="1">IFERROR(__xludf.DUMMYFUNCTION("""COMPUTED_VALUE"""),115)</f>
        <v>115</v>
      </c>
      <c r="H425" s="18">
        <f ca="1">IFERROR(__xludf.DUMMYFUNCTION("""COMPUTED_VALUE"""),0)</f>
        <v>0</v>
      </c>
      <c r="I425" s="19">
        <f ca="1">IFERROR(__xludf.DUMMYFUNCTION("""COMPUTED_VALUE"""),131)</f>
        <v>131</v>
      </c>
      <c r="J425" s="19">
        <f ca="1">IFERROR(__xludf.DUMMYFUNCTION("""COMPUTED_VALUE"""),10)</f>
        <v>10</v>
      </c>
      <c r="K425" s="20">
        <f ca="1">IFERROR(__xludf.DUMMYFUNCTION("""COMPUTED_VALUE"""),65)</f>
        <v>65</v>
      </c>
      <c r="L425" s="20">
        <f ca="1">IFERROR(__xludf.DUMMYFUNCTION("""COMPUTED_VALUE"""),0)</f>
        <v>0</v>
      </c>
      <c r="M425" s="21">
        <f ca="1">IFERROR(__xludf.DUMMYFUNCTION("""COMPUTED_VALUE"""),93)</f>
        <v>93</v>
      </c>
      <c r="N425" s="21">
        <f ca="1">IFERROR(__xludf.DUMMYFUNCTION("""COMPUTED_VALUE"""),0)</f>
        <v>0</v>
      </c>
      <c r="O425" s="22">
        <f ca="1">IFERROR(__xludf.DUMMYFUNCTION("""COMPUTED_VALUE"""),91)</f>
        <v>91</v>
      </c>
      <c r="P425" s="22">
        <f ca="1">IFERROR(__xludf.DUMMYFUNCTION("""COMPUTED_VALUE"""),0)</f>
        <v>0</v>
      </c>
      <c r="Q425" s="23">
        <f ca="1">IFERROR(__xludf.DUMMYFUNCTION("""COMPUTED_VALUE"""),600)</f>
        <v>600</v>
      </c>
      <c r="R425" s="23">
        <f ca="1">IFERROR(__xludf.DUMMYFUNCTION("""COMPUTED_VALUE"""),10)</f>
        <v>10</v>
      </c>
      <c r="S425" s="25" t="str">
        <f ca="1">IFERROR(__xludf.DUMMYFUNCTION("""COMPUTED_VALUE"""),"Protosynthesis")</f>
        <v>Protosynthesis</v>
      </c>
      <c r="T425" s="25"/>
      <c r="U425" s="25" t="str">
        <f ca="1">IFERROR(__xludf.DUMMYFUNCTION("""COMPUTED_VALUE"""),"Protosynthesis")</f>
        <v>Protosynthesis</v>
      </c>
      <c r="V425" s="25" t="str">
        <f ca="1">IFERROR(__xludf.DUMMYFUNCTION("""COMPUTED_VALUE"""),"Lv. after using Dragon Energy 20x")</f>
        <v>Lv. after using Dragon Energy 20x</v>
      </c>
      <c r="W425" s="25"/>
      <c r="X425" s="25" t="str">
        <f ca="1">IFERROR(__xludf.DUMMYFUNCTION("""COMPUTED_VALUE"""),"Booster Energy")</f>
        <v>Booster Energy</v>
      </c>
      <c r="Y425" s="25"/>
    </row>
    <row r="426" spans="1:25" x14ac:dyDescent="0.25">
      <c r="A426" s="15" t="str">
        <f ca="1">IFERROR(__xludf.DUMMYFUNCTION("""COMPUTED_VALUE"""),"Suicune")</f>
        <v>Suicune</v>
      </c>
      <c r="B426" s="16">
        <f ca="1">IFERROR(__xludf.DUMMYFUNCTION("""COMPUTED_VALUE"""),425)</f>
        <v>425</v>
      </c>
      <c r="C426" s="3" t="str">
        <f ca="1">IFERROR(__xludf.DUMMYFUNCTION("""COMPUTED_VALUE"""),"Water")</f>
        <v>Water</v>
      </c>
      <c r="D426" s="3"/>
      <c r="E426" s="17">
        <f ca="1">IFERROR(__xludf.DUMMYFUNCTION("""COMPUTED_VALUE"""),100)</f>
        <v>100</v>
      </c>
      <c r="F426" s="17">
        <f ca="1">IFERROR(__xludf.DUMMYFUNCTION("""COMPUTED_VALUE"""),0)</f>
        <v>0</v>
      </c>
      <c r="G426" s="18">
        <f ca="1">IFERROR(__xludf.DUMMYFUNCTION("""COMPUTED_VALUE"""),65)</f>
        <v>65</v>
      </c>
      <c r="H426" s="18">
        <f ca="1">IFERROR(__xludf.DUMMYFUNCTION("""COMPUTED_VALUE"""),-10)</f>
        <v>-10</v>
      </c>
      <c r="I426" s="19">
        <f ca="1">IFERROR(__xludf.DUMMYFUNCTION("""COMPUTED_VALUE"""),105)</f>
        <v>105</v>
      </c>
      <c r="J426" s="19">
        <f ca="1">IFERROR(__xludf.DUMMYFUNCTION("""COMPUTED_VALUE"""),-10)</f>
        <v>-10</v>
      </c>
      <c r="K426" s="20">
        <f ca="1">IFERROR(__xludf.DUMMYFUNCTION("""COMPUTED_VALUE"""),90)</f>
        <v>90</v>
      </c>
      <c r="L426" s="20">
        <f ca="1">IFERROR(__xludf.DUMMYFUNCTION("""COMPUTED_VALUE"""),0)</f>
        <v>0</v>
      </c>
      <c r="M426" s="21">
        <f ca="1">IFERROR(__xludf.DUMMYFUNCTION("""COMPUTED_VALUE"""),105)</f>
        <v>105</v>
      </c>
      <c r="N426" s="21">
        <f ca="1">IFERROR(__xludf.DUMMYFUNCTION("""COMPUTED_VALUE"""),-10)</f>
        <v>-10</v>
      </c>
      <c r="O426" s="22">
        <f ca="1">IFERROR(__xludf.DUMMYFUNCTION("""COMPUTED_VALUE"""),95)</f>
        <v>95</v>
      </c>
      <c r="P426" s="22">
        <f ca="1">IFERROR(__xludf.DUMMYFUNCTION("""COMPUTED_VALUE"""),10)</f>
        <v>10</v>
      </c>
      <c r="Q426" s="23">
        <f ca="1">IFERROR(__xludf.DUMMYFUNCTION("""COMPUTED_VALUE"""),560)</f>
        <v>560</v>
      </c>
      <c r="R426" s="23">
        <f ca="1">IFERROR(__xludf.DUMMYFUNCTION("""COMPUTED_VALUE"""),-20)</f>
        <v>-20</v>
      </c>
      <c r="S426" s="24" t="str">
        <f ca="1">IFERROR(__xludf.DUMMYFUNCTION("""COMPUTED_VALUE"""),"Pressure")</f>
        <v>Pressure</v>
      </c>
      <c r="T426" s="25"/>
      <c r="U426" s="24" t="str">
        <f ca="1">IFERROR(__xludf.DUMMYFUNCTION("""COMPUTED_VALUE"""),"Inner Focus")</f>
        <v>Inner Focus</v>
      </c>
      <c r="V426" s="25"/>
      <c r="W426" s="25"/>
      <c r="X426" s="25"/>
      <c r="Y426" s="25"/>
    </row>
    <row r="427" spans="1:25" x14ac:dyDescent="0.25">
      <c r="A427" s="15" t="str">
        <f ca="1">IFERROR(__xludf.DUMMYFUNCTION("""COMPUTED_VALUE"""),"Walking Wake")</f>
        <v>Walking Wake</v>
      </c>
      <c r="B427" s="16">
        <f ca="1">IFERROR(__xludf.DUMMYFUNCTION("""COMPUTED_VALUE"""),426)</f>
        <v>426</v>
      </c>
      <c r="C427" s="3" t="str">
        <f ca="1">IFERROR(__xludf.DUMMYFUNCTION("""COMPUTED_VALUE"""),"Water")</f>
        <v>Water</v>
      </c>
      <c r="D427" s="3" t="str">
        <f ca="1">IFERROR(__xludf.DUMMYFUNCTION("""COMPUTED_VALUE"""),"Dragon")</f>
        <v>Dragon</v>
      </c>
      <c r="E427" s="17">
        <f ca="1">IFERROR(__xludf.DUMMYFUNCTION("""COMPUTED_VALUE"""),99)</f>
        <v>99</v>
      </c>
      <c r="F427" s="17">
        <f ca="1">IFERROR(__xludf.DUMMYFUNCTION("""COMPUTED_VALUE"""),0)</f>
        <v>0</v>
      </c>
      <c r="G427" s="18">
        <f ca="1">IFERROR(__xludf.DUMMYFUNCTION("""COMPUTED_VALUE"""),93)</f>
        <v>93</v>
      </c>
      <c r="H427" s="18">
        <f ca="1">IFERROR(__xludf.DUMMYFUNCTION("""COMPUTED_VALUE"""),10)</f>
        <v>10</v>
      </c>
      <c r="I427" s="19">
        <f ca="1">IFERROR(__xludf.DUMMYFUNCTION("""COMPUTED_VALUE"""),91)</f>
        <v>91</v>
      </c>
      <c r="J427" s="19">
        <f ca="1">IFERROR(__xludf.DUMMYFUNCTION("""COMPUTED_VALUE"""),0)</f>
        <v>0</v>
      </c>
      <c r="K427" s="20">
        <f ca="1">IFERROR(__xludf.DUMMYFUNCTION("""COMPUTED_VALUE"""),125)</f>
        <v>125</v>
      </c>
      <c r="L427" s="20">
        <f ca="1">IFERROR(__xludf.DUMMYFUNCTION("""COMPUTED_VALUE"""),0)</f>
        <v>0</v>
      </c>
      <c r="M427" s="21">
        <f ca="1">IFERROR(__xludf.DUMMYFUNCTION("""COMPUTED_VALUE"""),83)</f>
        <v>83</v>
      </c>
      <c r="N427" s="21">
        <f ca="1">IFERROR(__xludf.DUMMYFUNCTION("""COMPUTED_VALUE"""),0)</f>
        <v>0</v>
      </c>
      <c r="O427" s="22">
        <f ca="1">IFERROR(__xludf.DUMMYFUNCTION("""COMPUTED_VALUE"""),109)</f>
        <v>109</v>
      </c>
      <c r="P427" s="22">
        <f ca="1">IFERROR(__xludf.DUMMYFUNCTION("""COMPUTED_VALUE"""),0)</f>
        <v>0</v>
      </c>
      <c r="Q427" s="23">
        <f ca="1">IFERROR(__xludf.DUMMYFUNCTION("""COMPUTED_VALUE"""),600)</f>
        <v>600</v>
      </c>
      <c r="R427" s="23">
        <f ca="1">IFERROR(__xludf.DUMMYFUNCTION("""COMPUTED_VALUE"""),10)</f>
        <v>10</v>
      </c>
      <c r="S427" s="25" t="str">
        <f ca="1">IFERROR(__xludf.DUMMYFUNCTION("""COMPUTED_VALUE"""),"Protosynthesis")</f>
        <v>Protosynthesis</v>
      </c>
      <c r="T427" s="25"/>
      <c r="U427" s="25" t="str">
        <f ca="1">IFERROR(__xludf.DUMMYFUNCTION("""COMPUTED_VALUE"""),"Protosynthesis")</f>
        <v>Protosynthesis</v>
      </c>
      <c r="V427" s="25" t="str">
        <f ca="1">IFERROR(__xludf.DUMMYFUNCTION("""COMPUTED_VALUE"""),"Lv. after using Dragon Energy 20x")</f>
        <v>Lv. after using Dragon Energy 20x</v>
      </c>
      <c r="W427" s="25"/>
      <c r="X427" s="25" t="str">
        <f ca="1">IFERROR(__xludf.DUMMYFUNCTION("""COMPUTED_VALUE"""),"Booster Energy")</f>
        <v>Booster Energy</v>
      </c>
      <c r="Y427" s="25"/>
    </row>
    <row r="428" spans="1:25" x14ac:dyDescent="0.25">
      <c r="A428" s="15" t="str">
        <f ca="1">IFERROR(__xludf.DUMMYFUNCTION("""COMPUTED_VALUE"""),"Kyogre")</f>
        <v>Kyogre</v>
      </c>
      <c r="B428" s="16">
        <f ca="1">IFERROR(__xludf.DUMMYFUNCTION("""COMPUTED_VALUE"""),427)</f>
        <v>427</v>
      </c>
      <c r="C428" s="3" t="str">
        <f ca="1">IFERROR(__xludf.DUMMYFUNCTION("""COMPUTED_VALUE"""),"Water")</f>
        <v>Water</v>
      </c>
      <c r="D428" s="3"/>
      <c r="E428" s="17">
        <f ca="1">IFERROR(__xludf.DUMMYFUNCTION("""COMPUTED_VALUE"""),100)</f>
        <v>100</v>
      </c>
      <c r="F428" s="17">
        <f ca="1">IFERROR(__xludf.DUMMYFUNCTION("""COMPUTED_VALUE"""),0)</f>
        <v>0</v>
      </c>
      <c r="G428" s="18">
        <f ca="1">IFERROR(__xludf.DUMMYFUNCTION("""COMPUTED_VALUE"""),100)</f>
        <v>100</v>
      </c>
      <c r="H428" s="18">
        <f ca="1">IFERROR(__xludf.DUMMYFUNCTION("""COMPUTED_VALUE"""),0)</f>
        <v>0</v>
      </c>
      <c r="I428" s="19">
        <f ca="1">IFERROR(__xludf.DUMMYFUNCTION("""COMPUTED_VALUE"""),90)</f>
        <v>90</v>
      </c>
      <c r="J428" s="19">
        <f ca="1">IFERROR(__xludf.DUMMYFUNCTION("""COMPUTED_VALUE"""),0)</f>
        <v>0</v>
      </c>
      <c r="K428" s="20">
        <f ca="1">IFERROR(__xludf.DUMMYFUNCTION("""COMPUTED_VALUE"""),150)</f>
        <v>150</v>
      </c>
      <c r="L428" s="20">
        <f ca="1">IFERROR(__xludf.DUMMYFUNCTION("""COMPUTED_VALUE"""),0)</f>
        <v>0</v>
      </c>
      <c r="M428" s="21">
        <f ca="1">IFERROR(__xludf.DUMMYFUNCTION("""COMPUTED_VALUE"""),140)</f>
        <v>140</v>
      </c>
      <c r="N428" s="21">
        <f ca="1">IFERROR(__xludf.DUMMYFUNCTION("""COMPUTED_VALUE"""),0)</f>
        <v>0</v>
      </c>
      <c r="O428" s="22">
        <f ca="1">IFERROR(__xludf.DUMMYFUNCTION("""COMPUTED_VALUE"""),90)</f>
        <v>90</v>
      </c>
      <c r="P428" s="22">
        <f ca="1">IFERROR(__xludf.DUMMYFUNCTION("""COMPUTED_VALUE"""),0)</f>
        <v>0</v>
      </c>
      <c r="Q428" s="23">
        <f ca="1">IFERROR(__xludf.DUMMYFUNCTION("""COMPUTED_VALUE"""),670)</f>
        <v>670</v>
      </c>
      <c r="R428" s="23">
        <f ca="1">IFERROR(__xludf.DUMMYFUNCTION("""COMPUTED_VALUE"""),0)</f>
        <v>0</v>
      </c>
      <c r="S428" s="24" t="str">
        <f ca="1">IFERROR(__xludf.DUMMYFUNCTION("""COMPUTED_VALUE"""),"Drizzle")</f>
        <v>Drizzle</v>
      </c>
      <c r="T428" s="25"/>
      <c r="U428" s="25"/>
      <c r="V428" s="25"/>
      <c r="W428" s="25"/>
      <c r="X428" s="25"/>
      <c r="Y428" s="25"/>
    </row>
    <row r="429" spans="1:25" x14ac:dyDescent="0.25">
      <c r="A429" s="15" t="str">
        <f ca="1">IFERROR(__xludf.DUMMYFUNCTION("""COMPUTED_VALUE"""),"Groudon")</f>
        <v>Groudon</v>
      </c>
      <c r="B429" s="16">
        <f ca="1">IFERROR(__xludf.DUMMYFUNCTION("""COMPUTED_VALUE"""),428)</f>
        <v>428</v>
      </c>
      <c r="C429" s="3" t="str">
        <f ca="1">IFERROR(__xludf.DUMMYFUNCTION("""COMPUTED_VALUE"""),"Ground")</f>
        <v>Ground</v>
      </c>
      <c r="D429" s="3"/>
      <c r="E429" s="17">
        <f ca="1">IFERROR(__xludf.DUMMYFUNCTION("""COMPUTED_VALUE"""),100)</f>
        <v>100</v>
      </c>
      <c r="F429" s="17">
        <f ca="1">IFERROR(__xludf.DUMMYFUNCTION("""COMPUTED_VALUE"""),0)</f>
        <v>0</v>
      </c>
      <c r="G429" s="18">
        <f ca="1">IFERROR(__xludf.DUMMYFUNCTION("""COMPUTED_VALUE"""),150)</f>
        <v>150</v>
      </c>
      <c r="H429" s="18">
        <f ca="1">IFERROR(__xludf.DUMMYFUNCTION("""COMPUTED_VALUE"""),0)</f>
        <v>0</v>
      </c>
      <c r="I429" s="19">
        <f ca="1">IFERROR(__xludf.DUMMYFUNCTION("""COMPUTED_VALUE"""),140)</f>
        <v>140</v>
      </c>
      <c r="J429" s="19">
        <f ca="1">IFERROR(__xludf.DUMMYFUNCTION("""COMPUTED_VALUE"""),0)</f>
        <v>0</v>
      </c>
      <c r="K429" s="20">
        <f ca="1">IFERROR(__xludf.DUMMYFUNCTION("""COMPUTED_VALUE"""),100)</f>
        <v>100</v>
      </c>
      <c r="L429" s="20">
        <f ca="1">IFERROR(__xludf.DUMMYFUNCTION("""COMPUTED_VALUE"""),0)</f>
        <v>0</v>
      </c>
      <c r="M429" s="21">
        <f ca="1">IFERROR(__xludf.DUMMYFUNCTION("""COMPUTED_VALUE"""),90)</f>
        <v>90</v>
      </c>
      <c r="N429" s="21">
        <f ca="1">IFERROR(__xludf.DUMMYFUNCTION("""COMPUTED_VALUE"""),0)</f>
        <v>0</v>
      </c>
      <c r="O429" s="22">
        <f ca="1">IFERROR(__xludf.DUMMYFUNCTION("""COMPUTED_VALUE"""),90)</f>
        <v>90</v>
      </c>
      <c r="P429" s="22">
        <f ca="1">IFERROR(__xludf.DUMMYFUNCTION("""COMPUTED_VALUE"""),0)</f>
        <v>0</v>
      </c>
      <c r="Q429" s="23">
        <f ca="1">IFERROR(__xludf.DUMMYFUNCTION("""COMPUTED_VALUE"""),670)</f>
        <v>670</v>
      </c>
      <c r="R429" s="23">
        <f ca="1">IFERROR(__xludf.DUMMYFUNCTION("""COMPUTED_VALUE"""),0)</f>
        <v>0</v>
      </c>
      <c r="S429" s="24" t="str">
        <f ca="1">IFERROR(__xludf.DUMMYFUNCTION("""COMPUTED_VALUE"""),"Drought")</f>
        <v>Drought</v>
      </c>
      <c r="T429" s="25"/>
      <c r="U429" s="25"/>
      <c r="V429" s="25"/>
      <c r="W429" s="25"/>
      <c r="X429" s="25"/>
      <c r="Y429" s="25"/>
    </row>
    <row r="430" spans="1:25" x14ac:dyDescent="0.25">
      <c r="A430" s="15" t="str">
        <f ca="1">IFERROR(__xludf.DUMMYFUNCTION("""COMPUTED_VALUE"""),"Rayquaza")</f>
        <v>Rayquaza</v>
      </c>
      <c r="B430" s="16">
        <f ca="1">IFERROR(__xludf.DUMMYFUNCTION("""COMPUTED_VALUE"""),429)</f>
        <v>429</v>
      </c>
      <c r="C430" s="3" t="str">
        <f ca="1">IFERROR(__xludf.DUMMYFUNCTION("""COMPUTED_VALUE"""),"Dragon")</f>
        <v>Dragon</v>
      </c>
      <c r="D430" s="3" t="str">
        <f ca="1">IFERROR(__xludf.DUMMYFUNCTION("""COMPUTED_VALUE"""),"Flying")</f>
        <v>Flying</v>
      </c>
      <c r="E430" s="17">
        <f ca="1">IFERROR(__xludf.DUMMYFUNCTION("""COMPUTED_VALUE"""),105)</f>
        <v>105</v>
      </c>
      <c r="F430" s="17">
        <f ca="1">IFERROR(__xludf.DUMMYFUNCTION("""COMPUTED_VALUE"""),0)</f>
        <v>0</v>
      </c>
      <c r="G430" s="18">
        <f ca="1">IFERROR(__xludf.DUMMYFUNCTION("""COMPUTED_VALUE"""),150)</f>
        <v>150</v>
      </c>
      <c r="H430" s="18">
        <f ca="1">IFERROR(__xludf.DUMMYFUNCTION("""COMPUTED_VALUE"""),0)</f>
        <v>0</v>
      </c>
      <c r="I430" s="19">
        <f ca="1">IFERROR(__xludf.DUMMYFUNCTION("""COMPUTED_VALUE"""),90)</f>
        <v>90</v>
      </c>
      <c r="J430" s="19">
        <f ca="1">IFERROR(__xludf.DUMMYFUNCTION("""COMPUTED_VALUE"""),0)</f>
        <v>0</v>
      </c>
      <c r="K430" s="20">
        <f ca="1">IFERROR(__xludf.DUMMYFUNCTION("""COMPUTED_VALUE"""),150)</f>
        <v>150</v>
      </c>
      <c r="L430" s="20">
        <f ca="1">IFERROR(__xludf.DUMMYFUNCTION("""COMPUTED_VALUE"""),0)</f>
        <v>0</v>
      </c>
      <c r="M430" s="21">
        <f ca="1">IFERROR(__xludf.DUMMYFUNCTION("""COMPUTED_VALUE"""),90)</f>
        <v>90</v>
      </c>
      <c r="N430" s="21">
        <f ca="1">IFERROR(__xludf.DUMMYFUNCTION("""COMPUTED_VALUE"""),0)</f>
        <v>0</v>
      </c>
      <c r="O430" s="22">
        <f ca="1">IFERROR(__xludf.DUMMYFUNCTION("""COMPUTED_VALUE"""),95)</f>
        <v>95</v>
      </c>
      <c r="P430" s="22">
        <f ca="1">IFERROR(__xludf.DUMMYFUNCTION("""COMPUTED_VALUE"""),0)</f>
        <v>0</v>
      </c>
      <c r="Q430" s="23">
        <f ca="1">IFERROR(__xludf.DUMMYFUNCTION("""COMPUTED_VALUE"""),680)</f>
        <v>680</v>
      </c>
      <c r="R430" s="23">
        <f ca="1">IFERROR(__xludf.DUMMYFUNCTION("""COMPUTED_VALUE"""),0)</f>
        <v>0</v>
      </c>
      <c r="S430" s="24" t="str">
        <f ca="1">IFERROR(__xludf.DUMMYFUNCTION("""COMPUTED_VALUE"""),"Air Lock")</f>
        <v>Air Lock</v>
      </c>
      <c r="T430" s="25"/>
      <c r="U430" s="25"/>
      <c r="V430" s="25"/>
      <c r="W430" s="25"/>
      <c r="X430" s="25"/>
      <c r="Y430" s="25"/>
    </row>
    <row r="431" spans="1:25" x14ac:dyDescent="0.25">
      <c r="A431" s="15" t="str">
        <f ca="1">IFERROR(__xludf.DUMMYFUNCTION("""COMPUTED_VALUE"""),"Ogerpon")</f>
        <v>Ogerpon</v>
      </c>
      <c r="B431" s="16">
        <f ca="1">IFERROR(__xludf.DUMMYFUNCTION("""COMPUTED_VALUE"""),430)</f>
        <v>430</v>
      </c>
      <c r="C431" s="3" t="str">
        <f ca="1">IFERROR(__xludf.DUMMYFUNCTION("""COMPUTED_VALUE"""),"Grass")</f>
        <v>Grass</v>
      </c>
      <c r="D431" s="3"/>
      <c r="E431" s="17">
        <f ca="1">IFERROR(__xludf.DUMMYFUNCTION("""COMPUTED_VALUE"""),80)</f>
        <v>80</v>
      </c>
      <c r="F431" s="17">
        <f ca="1">IFERROR(__xludf.DUMMYFUNCTION("""COMPUTED_VALUE"""),0)</f>
        <v>0</v>
      </c>
      <c r="G431" s="18">
        <f ca="1">IFERROR(__xludf.DUMMYFUNCTION("""COMPUTED_VALUE"""),120)</f>
        <v>120</v>
      </c>
      <c r="H431" s="18">
        <f ca="1">IFERROR(__xludf.DUMMYFUNCTION("""COMPUTED_VALUE"""),0)</f>
        <v>0</v>
      </c>
      <c r="I431" s="19">
        <f ca="1">IFERROR(__xludf.DUMMYFUNCTION("""COMPUTED_VALUE"""),84)</f>
        <v>84</v>
      </c>
      <c r="J431" s="19">
        <f ca="1">IFERROR(__xludf.DUMMYFUNCTION("""COMPUTED_VALUE"""),0)</f>
        <v>0</v>
      </c>
      <c r="K431" s="20">
        <f ca="1">IFERROR(__xludf.DUMMYFUNCTION("""COMPUTED_VALUE"""),60)</f>
        <v>60</v>
      </c>
      <c r="L431" s="20">
        <f ca="1">IFERROR(__xludf.DUMMYFUNCTION("""COMPUTED_VALUE"""),0)</f>
        <v>0</v>
      </c>
      <c r="M431" s="21">
        <f ca="1">IFERROR(__xludf.DUMMYFUNCTION("""COMPUTED_VALUE"""),96)</f>
        <v>96</v>
      </c>
      <c r="N431" s="21">
        <f ca="1">IFERROR(__xludf.DUMMYFUNCTION("""COMPUTED_VALUE"""),0)</f>
        <v>0</v>
      </c>
      <c r="O431" s="22">
        <f ca="1">IFERROR(__xludf.DUMMYFUNCTION("""COMPUTED_VALUE"""),110)</f>
        <v>110</v>
      </c>
      <c r="P431" s="22">
        <f ca="1">IFERROR(__xludf.DUMMYFUNCTION("""COMPUTED_VALUE"""),0)</f>
        <v>0</v>
      </c>
      <c r="Q431" s="23">
        <f ca="1">IFERROR(__xludf.DUMMYFUNCTION("""COMPUTED_VALUE"""),550)</f>
        <v>550</v>
      </c>
      <c r="R431" s="23">
        <f ca="1">IFERROR(__xludf.DUMMYFUNCTION("""COMPUTED_VALUE"""),0)</f>
        <v>0</v>
      </c>
      <c r="S431" s="24" t="str">
        <f ca="1">IFERROR(__xludf.DUMMYFUNCTION("""COMPUTED_VALUE"""),"Defiant")</f>
        <v>Defiant</v>
      </c>
      <c r="T431" s="25"/>
      <c r="U431" s="24" t="str">
        <f ca="1">IFERROR(__xludf.DUMMYFUNCTION("""COMPUTED_VALUE"""),"Embody Aspect (Spe)")</f>
        <v>Embody Aspect (Spe)</v>
      </c>
      <c r="V431" s="25"/>
      <c r="W431" s="25"/>
      <c r="X431" s="25"/>
      <c r="Y431" s="25" t="str">
        <f ca="1">IFERROR(__xludf.DUMMYFUNCTION("""COMPUTED_VALUE"""),"? (PC Code)")</f>
        <v>? (PC Code)</v>
      </c>
    </row>
    <row r="432" spans="1:25" x14ac:dyDescent="0.25">
      <c r="A432" s="15" t="str">
        <f ca="1">IFERROR(__xludf.DUMMYFUNCTION("""COMPUTED_VALUE"""),"Hisuian Decidueye")</f>
        <v>Hisuian Decidueye</v>
      </c>
      <c r="B432" s="16">
        <f ca="1">IFERROR(__xludf.DUMMYFUNCTION("""COMPUTED_VALUE"""),3)</f>
        <v>3</v>
      </c>
      <c r="C432" s="3" t="str">
        <f ca="1">IFERROR(__xludf.DUMMYFUNCTION("""COMPUTED_VALUE"""),"Grass")</f>
        <v>Grass</v>
      </c>
      <c r="D432" s="3" t="str">
        <f ca="1">IFERROR(__xludf.DUMMYFUNCTION("""COMPUTED_VALUE"""),"Fighting")</f>
        <v>Fighting</v>
      </c>
      <c r="E432" s="17">
        <f ca="1">IFERROR(__xludf.DUMMYFUNCTION("""COMPUTED_VALUE"""),93)</f>
        <v>93</v>
      </c>
      <c r="F432" s="17">
        <f ca="1">IFERROR(__xludf.DUMMYFUNCTION("""COMPUTED_VALUE"""),5)</f>
        <v>5</v>
      </c>
      <c r="G432" s="18">
        <f ca="1">IFERROR(__xludf.DUMMYFUNCTION("""COMPUTED_VALUE"""),122)</f>
        <v>122</v>
      </c>
      <c r="H432" s="18">
        <f ca="1">IFERROR(__xludf.DUMMYFUNCTION("""COMPUTED_VALUE"""),10)</f>
        <v>10</v>
      </c>
      <c r="I432" s="19">
        <f ca="1">IFERROR(__xludf.DUMMYFUNCTION("""COMPUTED_VALUE"""),81)</f>
        <v>81</v>
      </c>
      <c r="J432" s="19">
        <f ca="1">IFERROR(__xludf.DUMMYFUNCTION("""COMPUTED_VALUE"""),1)</f>
        <v>1</v>
      </c>
      <c r="K432" s="20">
        <f ca="1">IFERROR(__xludf.DUMMYFUNCTION("""COMPUTED_VALUE"""),75)</f>
        <v>75</v>
      </c>
      <c r="L432" s="20">
        <f ca="1">IFERROR(__xludf.DUMMYFUNCTION("""COMPUTED_VALUE"""),-20)</f>
        <v>-20</v>
      </c>
      <c r="M432" s="21">
        <f ca="1">IFERROR(__xludf.DUMMYFUNCTION("""COMPUTED_VALUE"""),95)</f>
        <v>95</v>
      </c>
      <c r="N432" s="21">
        <f ca="1">IFERROR(__xludf.DUMMYFUNCTION("""COMPUTED_VALUE"""),0)</f>
        <v>0</v>
      </c>
      <c r="O432" s="22">
        <f ca="1">IFERROR(__xludf.DUMMYFUNCTION("""COMPUTED_VALUE"""),64)</f>
        <v>64</v>
      </c>
      <c r="P432" s="22">
        <f ca="1">IFERROR(__xludf.DUMMYFUNCTION("""COMPUTED_VALUE"""),4)</f>
        <v>4</v>
      </c>
      <c r="Q432" s="23">
        <f ca="1">IFERROR(__xludf.DUMMYFUNCTION("""COMPUTED_VALUE"""),530)</f>
        <v>530</v>
      </c>
      <c r="R432" s="23">
        <f ca="1">IFERROR(__xludf.DUMMYFUNCTION("""COMPUTED_VALUE"""),0)</f>
        <v>0</v>
      </c>
      <c r="S432" s="24" t="str">
        <f ca="1">IFERROR(__xludf.DUMMYFUNCTION("""COMPUTED_VALUE"""),"Overgrow")</f>
        <v>Overgrow</v>
      </c>
      <c r="T432" s="24" t="str">
        <f ca="1">IFERROR(__xludf.DUMMYFUNCTION("""COMPUTED_VALUE"""),"Strong Legs")</f>
        <v>Strong Legs</v>
      </c>
      <c r="U432" s="24" t="str">
        <f ca="1">IFERROR(__xludf.DUMMYFUNCTION("""COMPUTED_VALUE"""),"Fluffy")</f>
        <v>Fluffy</v>
      </c>
      <c r="V432" s="25" t="str">
        <f ca="1">IFERROR(__xludf.DUMMYFUNCTION("""COMPUTED_VALUE"""),"Lv. 34, Day")</f>
        <v>Lv. 34, Day</v>
      </c>
      <c r="W432" s="25"/>
      <c r="X432" s="25"/>
      <c r="Y432" s="25" t="str">
        <f ca="1">IFERROR(__xludf.DUMMYFUNCTION("""COMPUTED_VALUE"""),"Dartrix (evolve)")</f>
        <v>Dartrix (evolve)</v>
      </c>
    </row>
    <row r="433" spans="1:25" x14ac:dyDescent="0.25">
      <c r="A433" s="15" t="str">
        <f ca="1">IFERROR(__xludf.DUMMYFUNCTION("""COMPUTED_VALUE"""),"Alolan Marowak")</f>
        <v>Alolan Marowak</v>
      </c>
      <c r="B433" s="16">
        <f ca="1">IFERROR(__xludf.DUMMYFUNCTION("""COMPUTED_VALUE"""),58)</f>
        <v>58</v>
      </c>
      <c r="C433" s="3" t="str">
        <f ca="1">IFERROR(__xludf.DUMMYFUNCTION("""COMPUTED_VALUE"""),"Fire")</f>
        <v>Fire</v>
      </c>
      <c r="D433" s="3" t="str">
        <f ca="1">IFERROR(__xludf.DUMMYFUNCTION("""COMPUTED_VALUE"""),"Ghost")</f>
        <v>Ghost</v>
      </c>
      <c r="E433" s="17">
        <f ca="1">IFERROR(__xludf.DUMMYFUNCTION("""COMPUTED_VALUE"""),75)</f>
        <v>75</v>
      </c>
      <c r="F433" s="17">
        <f ca="1">IFERROR(__xludf.DUMMYFUNCTION("""COMPUTED_VALUE"""),15)</f>
        <v>15</v>
      </c>
      <c r="G433" s="18">
        <f ca="1">IFERROR(__xludf.DUMMYFUNCTION("""COMPUTED_VALUE"""),100)</f>
        <v>100</v>
      </c>
      <c r="H433" s="18">
        <f ca="1">IFERROR(__xludf.DUMMYFUNCTION("""COMPUTED_VALUE"""),20)</f>
        <v>20</v>
      </c>
      <c r="I433" s="19">
        <f ca="1">IFERROR(__xludf.DUMMYFUNCTION("""COMPUTED_VALUE"""),110)</f>
        <v>110</v>
      </c>
      <c r="J433" s="19">
        <f ca="1">IFERROR(__xludf.DUMMYFUNCTION("""COMPUTED_VALUE"""),0)</f>
        <v>0</v>
      </c>
      <c r="K433" s="20">
        <f ca="1">IFERROR(__xludf.DUMMYFUNCTION("""COMPUTED_VALUE"""),40)</f>
        <v>40</v>
      </c>
      <c r="L433" s="20">
        <f ca="1">IFERROR(__xludf.DUMMYFUNCTION("""COMPUTED_VALUE"""),-10)</f>
        <v>-10</v>
      </c>
      <c r="M433" s="21">
        <f ca="1">IFERROR(__xludf.DUMMYFUNCTION("""COMPUTED_VALUE"""),80)</f>
        <v>80</v>
      </c>
      <c r="N433" s="21">
        <f ca="1">IFERROR(__xludf.DUMMYFUNCTION("""COMPUTED_VALUE"""),0)</f>
        <v>0</v>
      </c>
      <c r="O433" s="22">
        <f ca="1">IFERROR(__xludf.DUMMYFUNCTION("""COMPUTED_VALUE"""),45)</f>
        <v>45</v>
      </c>
      <c r="P433" s="22">
        <f ca="1">IFERROR(__xludf.DUMMYFUNCTION("""COMPUTED_VALUE"""),0)</f>
        <v>0</v>
      </c>
      <c r="Q433" s="23">
        <f ca="1">IFERROR(__xludf.DUMMYFUNCTION("""COMPUTED_VALUE"""),450)</f>
        <v>450</v>
      </c>
      <c r="R433" s="23">
        <f ca="1">IFERROR(__xludf.DUMMYFUNCTION("""COMPUTED_VALUE"""),25)</f>
        <v>25</v>
      </c>
      <c r="S433" s="24" t="str">
        <f ca="1">IFERROR(__xludf.DUMMYFUNCTION("""COMPUTED_VALUE"""),"Cursed Body")</f>
        <v>Cursed Body</v>
      </c>
      <c r="T433" s="24" t="str">
        <f ca="1">IFERROR(__xludf.DUMMYFUNCTION("""COMPUTED_VALUE"""),"Lightning Rod")</f>
        <v>Lightning Rod</v>
      </c>
      <c r="U433" s="24" t="str">
        <f ca="1">IFERROR(__xludf.DUMMYFUNCTION("""COMPUTED_VALUE"""),"Rock Head")</f>
        <v>Rock Head</v>
      </c>
      <c r="V433" s="25" t="str">
        <f ca="1">IFERROR(__xludf.DUMMYFUNCTION("""COMPUTED_VALUE"""),"Lv. 28, Night")</f>
        <v>Lv. 28, Night</v>
      </c>
      <c r="W433" s="25"/>
      <c r="X433" s="25" t="str">
        <f ca="1">IFERROR(__xludf.DUMMYFUNCTION("""COMPUTED_VALUE"""),"Thick Club")</f>
        <v>Thick Club</v>
      </c>
      <c r="Y433" s="25" t="str">
        <f ca="1">IFERROR(__xludf.DUMMYFUNCTION("""COMPUTED_VALUE"""),"Cubone (evolve)")</f>
        <v>Cubone (evolve)</v>
      </c>
    </row>
    <row r="434" spans="1:25" x14ac:dyDescent="0.25">
      <c r="A434" s="15" t="str">
        <f ca="1">IFERROR(__xludf.DUMMYFUNCTION("""COMPUTED_VALUE"""),"Alolan Grimer")</f>
        <v>Alolan Grimer</v>
      </c>
      <c r="B434" s="16">
        <f ca="1">IFERROR(__xludf.DUMMYFUNCTION("""COMPUTED_VALUE"""),71)</f>
        <v>71</v>
      </c>
      <c r="C434" s="3" t="str">
        <f ca="1">IFERROR(__xludf.DUMMYFUNCTION("""COMPUTED_VALUE"""),"Poison")</f>
        <v>Poison</v>
      </c>
      <c r="D434" s="3" t="str">
        <f ca="1">IFERROR(__xludf.DUMMYFUNCTION("""COMPUTED_VALUE"""),"Dark")</f>
        <v>Dark</v>
      </c>
      <c r="E434" s="17">
        <f ca="1">IFERROR(__xludf.DUMMYFUNCTION("""COMPUTED_VALUE"""),80)</f>
        <v>80</v>
      </c>
      <c r="F434" s="17">
        <f ca="1">IFERROR(__xludf.DUMMYFUNCTION("""COMPUTED_VALUE"""),0)</f>
        <v>0</v>
      </c>
      <c r="G434" s="18">
        <f ca="1">IFERROR(__xludf.DUMMYFUNCTION("""COMPUTED_VALUE"""),80)</f>
        <v>80</v>
      </c>
      <c r="H434" s="18">
        <f ca="1">IFERROR(__xludf.DUMMYFUNCTION("""COMPUTED_VALUE"""),0)</f>
        <v>0</v>
      </c>
      <c r="I434" s="19">
        <f ca="1">IFERROR(__xludf.DUMMYFUNCTION("""COMPUTED_VALUE"""),50)</f>
        <v>50</v>
      </c>
      <c r="J434" s="19">
        <f ca="1">IFERROR(__xludf.DUMMYFUNCTION("""COMPUTED_VALUE"""),0)</f>
        <v>0</v>
      </c>
      <c r="K434" s="20">
        <f ca="1">IFERROR(__xludf.DUMMYFUNCTION("""COMPUTED_VALUE"""),40)</f>
        <v>40</v>
      </c>
      <c r="L434" s="20">
        <f ca="1">IFERROR(__xludf.DUMMYFUNCTION("""COMPUTED_VALUE"""),0)</f>
        <v>0</v>
      </c>
      <c r="M434" s="21">
        <f ca="1">IFERROR(__xludf.DUMMYFUNCTION("""COMPUTED_VALUE"""),50)</f>
        <v>50</v>
      </c>
      <c r="N434" s="21">
        <f ca="1">IFERROR(__xludf.DUMMYFUNCTION("""COMPUTED_VALUE"""),0)</f>
        <v>0</v>
      </c>
      <c r="O434" s="22">
        <f ca="1">IFERROR(__xludf.DUMMYFUNCTION("""COMPUTED_VALUE"""),25)</f>
        <v>25</v>
      </c>
      <c r="P434" s="22">
        <f ca="1">IFERROR(__xludf.DUMMYFUNCTION("""COMPUTED_VALUE"""),0)</f>
        <v>0</v>
      </c>
      <c r="Q434" s="23">
        <f ca="1">IFERROR(__xludf.DUMMYFUNCTION("""COMPUTED_VALUE"""),325)</f>
        <v>325</v>
      </c>
      <c r="R434" s="23">
        <f ca="1">IFERROR(__xludf.DUMMYFUNCTION("""COMPUTED_VALUE"""),0)</f>
        <v>0</v>
      </c>
      <c r="S434" s="24" t="str">
        <f ca="1">IFERROR(__xludf.DUMMYFUNCTION("""COMPUTED_VALUE"""),"Poison Touch")</f>
        <v>Poison Touch</v>
      </c>
      <c r="T434" s="24" t="str">
        <f ca="1">IFERROR(__xludf.DUMMYFUNCTION("""COMPUTED_VALUE"""),"Gluttony")</f>
        <v>Gluttony</v>
      </c>
      <c r="U434" s="24" t="str">
        <f ca="1">IFERROR(__xludf.DUMMYFUNCTION("""COMPUTED_VALUE"""),"Power of Alchemy")</f>
        <v>Power of Alchemy</v>
      </c>
      <c r="V434" s="25"/>
      <c r="W434" s="25"/>
      <c r="X434" s="25" t="str">
        <f ca="1">IFERROR(__xludf.DUMMYFUNCTION("""COMPUTED_VALUE"""),"Black Sludge")</f>
        <v>Black Sludge</v>
      </c>
      <c r="Y434" s="25" t="str">
        <f ca="1">IFERROR(__xludf.DUMMYFUNCTION("""COMPUTED_VALUE"""),"Acrisia City (wild)")</f>
        <v>Acrisia City (wild)</v>
      </c>
    </row>
    <row r="435" spans="1:25" x14ac:dyDescent="0.25">
      <c r="A435" s="15" t="str">
        <f ca="1">IFERROR(__xludf.DUMMYFUNCTION("""COMPUTED_VALUE"""),"Alolan Muk")</f>
        <v>Alolan Muk</v>
      </c>
      <c r="B435" s="16">
        <f ca="1">IFERROR(__xludf.DUMMYFUNCTION("""COMPUTED_VALUE"""),72)</f>
        <v>72</v>
      </c>
      <c r="C435" s="3" t="str">
        <f ca="1">IFERROR(__xludf.DUMMYFUNCTION("""COMPUTED_VALUE"""),"Poison")</f>
        <v>Poison</v>
      </c>
      <c r="D435" s="3" t="str">
        <f ca="1">IFERROR(__xludf.DUMMYFUNCTION("""COMPUTED_VALUE"""),"Dark")</f>
        <v>Dark</v>
      </c>
      <c r="E435" s="17">
        <f ca="1">IFERROR(__xludf.DUMMYFUNCTION("""COMPUTED_VALUE"""),105)</f>
        <v>105</v>
      </c>
      <c r="F435" s="17">
        <f ca="1">IFERROR(__xludf.DUMMYFUNCTION("""COMPUTED_VALUE"""),0)</f>
        <v>0</v>
      </c>
      <c r="G435" s="18">
        <f ca="1">IFERROR(__xludf.DUMMYFUNCTION("""COMPUTED_VALUE"""),105)</f>
        <v>105</v>
      </c>
      <c r="H435" s="18">
        <f ca="1">IFERROR(__xludf.DUMMYFUNCTION("""COMPUTED_VALUE"""),0)</f>
        <v>0</v>
      </c>
      <c r="I435" s="19">
        <f ca="1">IFERROR(__xludf.DUMMYFUNCTION("""COMPUTED_VALUE"""),85)</f>
        <v>85</v>
      </c>
      <c r="J435" s="19">
        <f ca="1">IFERROR(__xludf.DUMMYFUNCTION("""COMPUTED_VALUE"""),10)</f>
        <v>10</v>
      </c>
      <c r="K435" s="20">
        <f ca="1">IFERROR(__xludf.DUMMYFUNCTION("""COMPUTED_VALUE"""),65)</f>
        <v>65</v>
      </c>
      <c r="L435" s="20">
        <f ca="1">IFERROR(__xludf.DUMMYFUNCTION("""COMPUTED_VALUE"""),0)</f>
        <v>0</v>
      </c>
      <c r="M435" s="21">
        <f ca="1">IFERROR(__xludf.DUMMYFUNCTION("""COMPUTED_VALUE"""),100)</f>
        <v>100</v>
      </c>
      <c r="N435" s="21">
        <f ca="1">IFERROR(__xludf.DUMMYFUNCTION("""COMPUTED_VALUE"""),0)</f>
        <v>0</v>
      </c>
      <c r="O435" s="22">
        <f ca="1">IFERROR(__xludf.DUMMYFUNCTION("""COMPUTED_VALUE"""),45)</f>
        <v>45</v>
      </c>
      <c r="P435" s="22">
        <f ca="1">IFERROR(__xludf.DUMMYFUNCTION("""COMPUTED_VALUE"""),-5)</f>
        <v>-5</v>
      </c>
      <c r="Q435" s="23">
        <f ca="1">IFERROR(__xludf.DUMMYFUNCTION("""COMPUTED_VALUE"""),505)</f>
        <v>505</v>
      </c>
      <c r="R435" s="23">
        <f ca="1">IFERROR(__xludf.DUMMYFUNCTION("""COMPUTED_VALUE"""),5)</f>
        <v>5</v>
      </c>
      <c r="S435" s="24" t="str">
        <f ca="1">IFERROR(__xludf.DUMMYFUNCTION("""COMPUTED_VALUE"""),"Poison Touch")</f>
        <v>Poison Touch</v>
      </c>
      <c r="T435" s="24" t="str">
        <f ca="1">IFERROR(__xludf.DUMMYFUNCTION("""COMPUTED_VALUE"""),"Gluttony")</f>
        <v>Gluttony</v>
      </c>
      <c r="U435" s="24" t="str">
        <f ca="1">IFERROR(__xludf.DUMMYFUNCTION("""COMPUTED_VALUE"""),"Power of Alchemy")</f>
        <v>Power of Alchemy</v>
      </c>
      <c r="V435" s="25" t="str">
        <f ca="1">IFERROR(__xludf.DUMMYFUNCTION("""COMPUTED_VALUE"""),"Lv. 36")</f>
        <v>Lv. 36</v>
      </c>
      <c r="W435" s="25"/>
      <c r="X435" s="25" t="str">
        <f ca="1">IFERROR(__xludf.DUMMYFUNCTION("""COMPUTED_VALUE"""),"Black Sludge")</f>
        <v>Black Sludge</v>
      </c>
      <c r="Y435" s="25" t="str">
        <f ca="1">IFERROR(__xludf.DUMMYFUNCTION("""COMPUTED_VALUE"""),"Areios Hideout (wild)")</f>
        <v>Areios Hideout (wild)</v>
      </c>
    </row>
    <row r="436" spans="1:25" x14ac:dyDescent="0.25">
      <c r="A436" s="15" t="str">
        <f ca="1">IFERROR(__xludf.DUMMYFUNCTION("""COMPUTED_VALUE"""),"Oricorio Pom-Pom")</f>
        <v>Oricorio Pom-Pom</v>
      </c>
      <c r="B436" s="16">
        <f ca="1">IFERROR(__xludf.DUMMYFUNCTION("""COMPUTED_VALUE"""),96)</f>
        <v>96</v>
      </c>
      <c r="C436" s="3" t="str">
        <f ca="1">IFERROR(__xludf.DUMMYFUNCTION("""COMPUTED_VALUE"""),"Electric")</f>
        <v>Electric</v>
      </c>
      <c r="D436" s="3" t="str">
        <f ca="1">IFERROR(__xludf.DUMMYFUNCTION("""COMPUTED_VALUE"""),"Flying")</f>
        <v>Flying</v>
      </c>
      <c r="E436" s="17">
        <f ca="1">IFERROR(__xludf.DUMMYFUNCTION("""COMPUTED_VALUE"""),76)</f>
        <v>76</v>
      </c>
      <c r="F436" s="17">
        <f ca="1">IFERROR(__xludf.DUMMYFUNCTION("""COMPUTED_VALUE"""),1)</f>
        <v>1</v>
      </c>
      <c r="G436" s="18">
        <f ca="1">IFERROR(__xludf.DUMMYFUNCTION("""COMPUTED_VALUE"""),65)</f>
        <v>65</v>
      </c>
      <c r="H436" s="18">
        <f ca="1">IFERROR(__xludf.DUMMYFUNCTION("""COMPUTED_VALUE"""),-5)</f>
        <v>-5</v>
      </c>
      <c r="I436" s="19">
        <f ca="1">IFERROR(__xludf.DUMMYFUNCTION("""COMPUTED_VALUE"""),70)</f>
        <v>70</v>
      </c>
      <c r="J436" s="19">
        <f ca="1">IFERROR(__xludf.DUMMYFUNCTION("""COMPUTED_VALUE"""),0)</f>
        <v>0</v>
      </c>
      <c r="K436" s="20">
        <f ca="1">IFERROR(__xludf.DUMMYFUNCTION("""COMPUTED_VALUE"""),98)</f>
        <v>98</v>
      </c>
      <c r="L436" s="20">
        <f ca="1">IFERROR(__xludf.DUMMYFUNCTION("""COMPUTED_VALUE"""),0)</f>
        <v>0</v>
      </c>
      <c r="M436" s="21">
        <f ca="1">IFERROR(__xludf.DUMMYFUNCTION("""COMPUTED_VALUE"""),75)</f>
        <v>75</v>
      </c>
      <c r="N436" s="21">
        <f ca="1">IFERROR(__xludf.DUMMYFUNCTION("""COMPUTED_VALUE"""),5)</f>
        <v>5</v>
      </c>
      <c r="O436" s="22">
        <f ca="1">IFERROR(__xludf.DUMMYFUNCTION("""COMPUTED_VALUE"""),116)</f>
        <v>116</v>
      </c>
      <c r="P436" s="22">
        <f ca="1">IFERROR(__xludf.DUMMYFUNCTION("""COMPUTED_VALUE"""),23)</f>
        <v>23</v>
      </c>
      <c r="Q436" s="23">
        <f ca="1">IFERROR(__xludf.DUMMYFUNCTION("""COMPUTED_VALUE"""),500)</f>
        <v>500</v>
      </c>
      <c r="R436" s="23">
        <f ca="1">IFERROR(__xludf.DUMMYFUNCTION("""COMPUTED_VALUE"""),24)</f>
        <v>24</v>
      </c>
      <c r="S436" s="24" t="str">
        <f ca="1">IFERROR(__xludf.DUMMYFUNCTION("""COMPUTED_VALUE"""),"Dancer")</f>
        <v>Dancer</v>
      </c>
      <c r="T436" s="25"/>
      <c r="U436" s="25"/>
      <c r="V436" s="25"/>
      <c r="W436" s="25"/>
      <c r="X436" s="25" t="str">
        <f ca="1">IFERROR(__xludf.DUMMYFUNCTION("""COMPUTED_VALUE"""),"Yellow Nectar")</f>
        <v>Yellow Nectar</v>
      </c>
      <c r="Y436" s="25" t="str">
        <f ca="1">IFERROR(__xludf.DUMMYFUNCTION("""COMPUTED_VALUE"""),"Myrrini Island (wild)")</f>
        <v>Myrrini Island (wild)</v>
      </c>
    </row>
    <row r="437" spans="1:25" x14ac:dyDescent="0.25">
      <c r="A437" s="15" t="str">
        <f ca="1">IFERROR(__xludf.DUMMYFUNCTION("""COMPUTED_VALUE"""),"Oricorio Pa'u")</f>
        <v>Oricorio Pa'u</v>
      </c>
      <c r="B437" s="16">
        <f ca="1">IFERROR(__xludf.DUMMYFUNCTION("""COMPUTED_VALUE"""),96)</f>
        <v>96</v>
      </c>
      <c r="C437" s="3" t="str">
        <f ca="1">IFERROR(__xludf.DUMMYFUNCTION("""COMPUTED_VALUE"""),"Psychic")</f>
        <v>Psychic</v>
      </c>
      <c r="D437" s="3" t="str">
        <f ca="1">IFERROR(__xludf.DUMMYFUNCTION("""COMPUTED_VALUE"""),"Flying")</f>
        <v>Flying</v>
      </c>
      <c r="E437" s="17">
        <f ca="1">IFERROR(__xludf.DUMMYFUNCTION("""COMPUTED_VALUE"""),76)</f>
        <v>76</v>
      </c>
      <c r="F437" s="17">
        <f ca="1">IFERROR(__xludf.DUMMYFUNCTION("""COMPUTED_VALUE"""),1)</f>
        <v>1</v>
      </c>
      <c r="G437" s="18">
        <f ca="1">IFERROR(__xludf.DUMMYFUNCTION("""COMPUTED_VALUE"""),65)</f>
        <v>65</v>
      </c>
      <c r="H437" s="18">
        <f ca="1">IFERROR(__xludf.DUMMYFUNCTION("""COMPUTED_VALUE"""),-5)</f>
        <v>-5</v>
      </c>
      <c r="I437" s="19">
        <f ca="1">IFERROR(__xludf.DUMMYFUNCTION("""COMPUTED_VALUE"""),70)</f>
        <v>70</v>
      </c>
      <c r="J437" s="19">
        <f ca="1">IFERROR(__xludf.DUMMYFUNCTION("""COMPUTED_VALUE"""),0)</f>
        <v>0</v>
      </c>
      <c r="K437" s="20">
        <f ca="1">IFERROR(__xludf.DUMMYFUNCTION("""COMPUTED_VALUE"""),103)</f>
        <v>103</v>
      </c>
      <c r="L437" s="20">
        <f ca="1">IFERROR(__xludf.DUMMYFUNCTION("""COMPUTED_VALUE"""),5)</f>
        <v>5</v>
      </c>
      <c r="M437" s="21">
        <f ca="1">IFERROR(__xludf.DUMMYFUNCTION("""COMPUTED_VALUE"""),90)</f>
        <v>90</v>
      </c>
      <c r="N437" s="21">
        <f ca="1">IFERROR(__xludf.DUMMYFUNCTION("""COMPUTED_VALUE"""),20)</f>
        <v>20</v>
      </c>
      <c r="O437" s="22">
        <f ca="1">IFERROR(__xludf.DUMMYFUNCTION("""COMPUTED_VALUE"""),96)</f>
        <v>96</v>
      </c>
      <c r="P437" s="22">
        <f ca="1">IFERROR(__xludf.DUMMYFUNCTION("""COMPUTED_VALUE"""),3)</f>
        <v>3</v>
      </c>
      <c r="Q437" s="23">
        <f ca="1">IFERROR(__xludf.DUMMYFUNCTION("""COMPUTED_VALUE"""),500)</f>
        <v>500</v>
      </c>
      <c r="R437" s="23">
        <f ca="1">IFERROR(__xludf.DUMMYFUNCTION("""COMPUTED_VALUE"""),24)</f>
        <v>24</v>
      </c>
      <c r="S437" s="24" t="str">
        <f ca="1">IFERROR(__xludf.DUMMYFUNCTION("""COMPUTED_VALUE"""),"Dancer")</f>
        <v>Dancer</v>
      </c>
      <c r="T437" s="25"/>
      <c r="U437" s="25"/>
      <c r="V437" s="25"/>
      <c r="W437" s="25"/>
      <c r="X437" s="25" t="str">
        <f ca="1">IFERROR(__xludf.DUMMYFUNCTION("""COMPUTED_VALUE"""),"Pink Nectar")</f>
        <v>Pink Nectar</v>
      </c>
      <c r="Y437" s="25" t="str">
        <f ca="1">IFERROR(__xludf.DUMMYFUNCTION("""COMPUTED_VALUE"""),"Myrrini Island (wild)")</f>
        <v>Myrrini Island (wild)</v>
      </c>
    </row>
    <row r="438" spans="1:25" x14ac:dyDescent="0.25">
      <c r="A438" s="15" t="str">
        <f ca="1">IFERROR(__xludf.DUMMYFUNCTION("""COMPUTED_VALUE"""),"Oricorio Sensu")</f>
        <v>Oricorio Sensu</v>
      </c>
      <c r="B438" s="16">
        <f ca="1">IFERROR(__xludf.DUMMYFUNCTION("""COMPUTED_VALUE"""),96)</f>
        <v>96</v>
      </c>
      <c r="C438" s="3" t="str">
        <f ca="1">IFERROR(__xludf.DUMMYFUNCTION("""COMPUTED_VALUE"""),"Ghost")</f>
        <v>Ghost</v>
      </c>
      <c r="D438" s="3" t="str">
        <f ca="1">IFERROR(__xludf.DUMMYFUNCTION("""COMPUTED_VALUE"""),"Flying")</f>
        <v>Flying</v>
      </c>
      <c r="E438" s="17">
        <f ca="1">IFERROR(__xludf.DUMMYFUNCTION("""COMPUTED_VALUE"""),76)</f>
        <v>76</v>
      </c>
      <c r="F438" s="17">
        <f ca="1">IFERROR(__xludf.DUMMYFUNCTION("""COMPUTED_VALUE"""),1)</f>
        <v>1</v>
      </c>
      <c r="G438" s="18">
        <f ca="1">IFERROR(__xludf.DUMMYFUNCTION("""COMPUTED_VALUE"""),75)</f>
        <v>75</v>
      </c>
      <c r="H438" s="18">
        <f ca="1">IFERROR(__xludf.DUMMYFUNCTION("""COMPUTED_VALUE"""),5)</f>
        <v>5</v>
      </c>
      <c r="I438" s="19">
        <f ca="1">IFERROR(__xludf.DUMMYFUNCTION("""COMPUTED_VALUE"""),70)</f>
        <v>70</v>
      </c>
      <c r="J438" s="19">
        <f ca="1">IFERROR(__xludf.DUMMYFUNCTION("""COMPUTED_VALUE"""),0)</f>
        <v>0</v>
      </c>
      <c r="K438" s="20">
        <f ca="1">IFERROR(__xludf.DUMMYFUNCTION("""COMPUTED_VALUE"""),103)</f>
        <v>103</v>
      </c>
      <c r="L438" s="20">
        <f ca="1">IFERROR(__xludf.DUMMYFUNCTION("""COMPUTED_VALUE"""),5)</f>
        <v>5</v>
      </c>
      <c r="M438" s="21">
        <f ca="1">IFERROR(__xludf.DUMMYFUNCTION("""COMPUTED_VALUE"""),80)</f>
        <v>80</v>
      </c>
      <c r="N438" s="21">
        <f ca="1">IFERROR(__xludf.DUMMYFUNCTION("""COMPUTED_VALUE"""),10)</f>
        <v>10</v>
      </c>
      <c r="O438" s="22">
        <f ca="1">IFERROR(__xludf.DUMMYFUNCTION("""COMPUTED_VALUE"""),96)</f>
        <v>96</v>
      </c>
      <c r="P438" s="22">
        <f ca="1">IFERROR(__xludf.DUMMYFUNCTION("""COMPUTED_VALUE"""),3)</f>
        <v>3</v>
      </c>
      <c r="Q438" s="23">
        <f ca="1">IFERROR(__xludf.DUMMYFUNCTION("""COMPUTED_VALUE"""),500)</f>
        <v>500</v>
      </c>
      <c r="R438" s="23">
        <f ca="1">IFERROR(__xludf.DUMMYFUNCTION("""COMPUTED_VALUE"""),24)</f>
        <v>24</v>
      </c>
      <c r="S438" s="24" t="str">
        <f ca="1">IFERROR(__xludf.DUMMYFUNCTION("""COMPUTED_VALUE"""),"Dancer")</f>
        <v>Dancer</v>
      </c>
      <c r="T438" s="25"/>
      <c r="U438" s="25"/>
      <c r="V438" s="25"/>
      <c r="W438" s="25"/>
      <c r="X438" s="25" t="str">
        <f ca="1">IFERROR(__xludf.DUMMYFUNCTION("""COMPUTED_VALUE"""),"Purple Nectar")</f>
        <v>Purple Nectar</v>
      </c>
      <c r="Y438" s="25" t="str">
        <f ca="1">IFERROR(__xludf.DUMMYFUNCTION("""COMPUTED_VALUE"""),"Myrrini Island (wild)")</f>
        <v>Myrrini Island (wild)</v>
      </c>
    </row>
    <row r="439" spans="1:25" x14ac:dyDescent="0.25">
      <c r="A439" s="15" t="str">
        <f ca="1">IFERROR(__xludf.DUMMYFUNCTION("""COMPUTED_VALUE"""),"Alolan Sandshrew")</f>
        <v>Alolan Sandshrew</v>
      </c>
      <c r="B439" s="16">
        <f ca="1">IFERROR(__xludf.DUMMYFUNCTION("""COMPUTED_VALUE"""),97)</f>
        <v>97</v>
      </c>
      <c r="C439" s="3" t="str">
        <f ca="1">IFERROR(__xludf.DUMMYFUNCTION("""COMPUTED_VALUE"""),"Ice")</f>
        <v>Ice</v>
      </c>
      <c r="D439" s="3" t="str">
        <f ca="1">IFERROR(__xludf.DUMMYFUNCTION("""COMPUTED_VALUE"""),"Steel")</f>
        <v>Steel</v>
      </c>
      <c r="E439" s="17">
        <f ca="1">IFERROR(__xludf.DUMMYFUNCTION("""COMPUTED_VALUE"""),50)</f>
        <v>50</v>
      </c>
      <c r="F439" s="17">
        <f ca="1">IFERROR(__xludf.DUMMYFUNCTION("""COMPUTED_VALUE"""),0)</f>
        <v>0</v>
      </c>
      <c r="G439" s="18">
        <f ca="1">IFERROR(__xludf.DUMMYFUNCTION("""COMPUTED_VALUE"""),75)</f>
        <v>75</v>
      </c>
      <c r="H439" s="18">
        <f ca="1">IFERROR(__xludf.DUMMYFUNCTION("""COMPUTED_VALUE"""),0)</f>
        <v>0</v>
      </c>
      <c r="I439" s="19">
        <f ca="1">IFERROR(__xludf.DUMMYFUNCTION("""COMPUTED_VALUE"""),90)</f>
        <v>90</v>
      </c>
      <c r="J439" s="19">
        <f ca="1">IFERROR(__xludf.DUMMYFUNCTION("""COMPUTED_VALUE"""),0)</f>
        <v>0</v>
      </c>
      <c r="K439" s="20">
        <f ca="1">IFERROR(__xludf.DUMMYFUNCTION("""COMPUTED_VALUE"""),10)</f>
        <v>10</v>
      </c>
      <c r="L439" s="20">
        <f ca="1">IFERROR(__xludf.DUMMYFUNCTION("""COMPUTED_VALUE"""),0)</f>
        <v>0</v>
      </c>
      <c r="M439" s="21">
        <f ca="1">IFERROR(__xludf.DUMMYFUNCTION("""COMPUTED_VALUE"""),35)</f>
        <v>35</v>
      </c>
      <c r="N439" s="21">
        <f ca="1">IFERROR(__xludf.DUMMYFUNCTION("""COMPUTED_VALUE"""),0)</f>
        <v>0</v>
      </c>
      <c r="O439" s="22">
        <f ca="1">IFERROR(__xludf.DUMMYFUNCTION("""COMPUTED_VALUE"""),40)</f>
        <v>40</v>
      </c>
      <c r="P439" s="22">
        <f ca="1">IFERROR(__xludf.DUMMYFUNCTION("""COMPUTED_VALUE"""),0)</f>
        <v>0</v>
      </c>
      <c r="Q439" s="23">
        <f ca="1">IFERROR(__xludf.DUMMYFUNCTION("""COMPUTED_VALUE"""),300)</f>
        <v>300</v>
      </c>
      <c r="R439" s="23">
        <f ca="1">IFERROR(__xludf.DUMMYFUNCTION("""COMPUTED_VALUE"""),0)</f>
        <v>0</v>
      </c>
      <c r="S439" s="24" t="str">
        <f ca="1">IFERROR(__xludf.DUMMYFUNCTION("""COMPUTED_VALUE"""),"Snow Cloak")</f>
        <v>Snow Cloak</v>
      </c>
      <c r="T439" s="24" t="str">
        <f ca="1">IFERROR(__xludf.DUMMYFUNCTION("""COMPUTED_VALUE"""),"Slush Rush")</f>
        <v>Slush Rush</v>
      </c>
      <c r="U439" s="24" t="str">
        <f ca="1">IFERROR(__xludf.DUMMYFUNCTION("""COMPUTED_VALUE"""),"Ice Scales")</f>
        <v>Ice Scales</v>
      </c>
      <c r="V439" s="25"/>
      <c r="W439" s="25"/>
      <c r="X439" s="25" t="str">
        <f ca="1">IFERROR(__xludf.DUMMYFUNCTION("""COMPUTED_VALUE"""),"Grip Claw")</f>
        <v>Grip Claw</v>
      </c>
      <c r="Y439" s="25" t="str">
        <f ca="1">IFERROR(__xludf.DUMMYFUNCTION("""COMPUTED_VALUE"""),"Acrisia Mountains (wild)")</f>
        <v>Acrisia Mountains (wild)</v>
      </c>
    </row>
    <row r="440" spans="1:25" x14ac:dyDescent="0.25">
      <c r="A440" s="15" t="str">
        <f ca="1">IFERROR(__xludf.DUMMYFUNCTION("""COMPUTED_VALUE"""),"Alolan Sandslash")</f>
        <v>Alolan Sandslash</v>
      </c>
      <c r="B440" s="16">
        <f ca="1">IFERROR(__xludf.DUMMYFUNCTION("""COMPUTED_VALUE"""),98)</f>
        <v>98</v>
      </c>
      <c r="C440" s="3" t="str">
        <f ca="1">IFERROR(__xludf.DUMMYFUNCTION("""COMPUTED_VALUE"""),"Ice")</f>
        <v>Ice</v>
      </c>
      <c r="D440" s="3" t="str">
        <f ca="1">IFERROR(__xludf.DUMMYFUNCTION("""COMPUTED_VALUE"""),"Steel")</f>
        <v>Steel</v>
      </c>
      <c r="E440" s="17">
        <f ca="1">IFERROR(__xludf.DUMMYFUNCTION("""COMPUTED_VALUE"""),80)</f>
        <v>80</v>
      </c>
      <c r="F440" s="17">
        <f ca="1">IFERROR(__xludf.DUMMYFUNCTION("""COMPUTED_VALUE"""),5)</f>
        <v>5</v>
      </c>
      <c r="G440" s="18">
        <f ca="1">IFERROR(__xludf.DUMMYFUNCTION("""COMPUTED_VALUE"""),110)</f>
        <v>110</v>
      </c>
      <c r="H440" s="18">
        <f ca="1">IFERROR(__xludf.DUMMYFUNCTION("""COMPUTED_VALUE"""),10)</f>
        <v>10</v>
      </c>
      <c r="I440" s="19">
        <f ca="1">IFERROR(__xludf.DUMMYFUNCTION("""COMPUTED_VALUE"""),120)</f>
        <v>120</v>
      </c>
      <c r="J440" s="19">
        <f ca="1">IFERROR(__xludf.DUMMYFUNCTION("""COMPUTED_VALUE"""),0)</f>
        <v>0</v>
      </c>
      <c r="K440" s="20">
        <f ca="1">IFERROR(__xludf.DUMMYFUNCTION("""COMPUTED_VALUE"""),25)</f>
        <v>25</v>
      </c>
      <c r="L440" s="20">
        <f ca="1">IFERROR(__xludf.DUMMYFUNCTION("""COMPUTED_VALUE"""),0)</f>
        <v>0</v>
      </c>
      <c r="M440" s="21">
        <f ca="1">IFERROR(__xludf.DUMMYFUNCTION("""COMPUTED_VALUE"""),70)</f>
        <v>70</v>
      </c>
      <c r="N440" s="21">
        <f ca="1">IFERROR(__xludf.DUMMYFUNCTION("""COMPUTED_VALUE"""),5)</f>
        <v>5</v>
      </c>
      <c r="O440" s="22">
        <f ca="1">IFERROR(__xludf.DUMMYFUNCTION("""COMPUTED_VALUE"""),65)</f>
        <v>65</v>
      </c>
      <c r="P440" s="22">
        <f ca="1">IFERROR(__xludf.DUMMYFUNCTION("""COMPUTED_VALUE"""),0)</f>
        <v>0</v>
      </c>
      <c r="Q440" s="23">
        <f ca="1">IFERROR(__xludf.DUMMYFUNCTION("""COMPUTED_VALUE"""),470)</f>
        <v>470</v>
      </c>
      <c r="R440" s="23">
        <f ca="1">IFERROR(__xludf.DUMMYFUNCTION("""COMPUTED_VALUE"""),20)</f>
        <v>20</v>
      </c>
      <c r="S440" s="24" t="str">
        <f ca="1">IFERROR(__xludf.DUMMYFUNCTION("""COMPUTED_VALUE"""),"Snow Cloak")</f>
        <v>Snow Cloak</v>
      </c>
      <c r="T440" s="24" t="str">
        <f ca="1">IFERROR(__xludf.DUMMYFUNCTION("""COMPUTED_VALUE"""),"Slush Rush")</f>
        <v>Slush Rush</v>
      </c>
      <c r="U440" s="24" t="str">
        <f ca="1">IFERROR(__xludf.DUMMYFUNCTION("""COMPUTED_VALUE"""),"Ice Scales")</f>
        <v>Ice Scales</v>
      </c>
      <c r="V440" s="25" t="str">
        <f ca="1">IFERROR(__xludf.DUMMYFUNCTION("""COMPUTED_VALUE"""),"Ice Stone")</f>
        <v>Ice Stone</v>
      </c>
      <c r="W440" s="25"/>
      <c r="X440" s="25" t="str">
        <f ca="1">IFERROR(__xludf.DUMMYFUNCTION("""COMPUTED_VALUE"""),"Grip Claw")</f>
        <v>Grip Claw</v>
      </c>
      <c r="Y440" s="25" t="str">
        <f ca="1">IFERROR(__xludf.DUMMYFUNCTION("""COMPUTED_VALUE"""),"Alolan Sandshrew (evolve)")</f>
        <v>Alolan Sandshrew (evolve)</v>
      </c>
    </row>
    <row r="441" spans="1:25" x14ac:dyDescent="0.25">
      <c r="A441" s="15" t="str">
        <f ca="1">IFERROR(__xludf.DUMMYFUNCTION("""COMPUTED_VALUE"""),"Own Tempo Rockruff")</f>
        <v>Own Tempo Rockruff</v>
      </c>
      <c r="B441" s="16">
        <f ca="1">IFERROR(__xludf.DUMMYFUNCTION("""COMPUTED_VALUE"""),105)</f>
        <v>105</v>
      </c>
      <c r="C441" s="3" t="str">
        <f ca="1">IFERROR(__xludf.DUMMYFUNCTION("""COMPUTED_VALUE"""),"Rock")</f>
        <v>Rock</v>
      </c>
      <c r="D441" s="3"/>
      <c r="E441" s="17">
        <f ca="1">IFERROR(__xludf.DUMMYFUNCTION("""COMPUTED_VALUE"""),45)</f>
        <v>45</v>
      </c>
      <c r="F441" s="17">
        <f ca="1">IFERROR(__xludf.DUMMYFUNCTION("""COMPUTED_VALUE"""),0)</f>
        <v>0</v>
      </c>
      <c r="G441" s="18">
        <f ca="1">IFERROR(__xludf.DUMMYFUNCTION("""COMPUTED_VALUE"""),65)</f>
        <v>65</v>
      </c>
      <c r="H441" s="18">
        <f ca="1">IFERROR(__xludf.DUMMYFUNCTION("""COMPUTED_VALUE"""),0)</f>
        <v>0</v>
      </c>
      <c r="I441" s="19">
        <f ca="1">IFERROR(__xludf.DUMMYFUNCTION("""COMPUTED_VALUE"""),40)</f>
        <v>40</v>
      </c>
      <c r="J441" s="19">
        <f ca="1">IFERROR(__xludf.DUMMYFUNCTION("""COMPUTED_VALUE"""),0)</f>
        <v>0</v>
      </c>
      <c r="K441" s="20">
        <f ca="1">IFERROR(__xludf.DUMMYFUNCTION("""COMPUTED_VALUE"""),30)</f>
        <v>30</v>
      </c>
      <c r="L441" s="20">
        <f ca="1">IFERROR(__xludf.DUMMYFUNCTION("""COMPUTED_VALUE"""),0)</f>
        <v>0</v>
      </c>
      <c r="M441" s="21">
        <f ca="1">IFERROR(__xludf.DUMMYFUNCTION("""COMPUTED_VALUE"""),40)</f>
        <v>40</v>
      </c>
      <c r="N441" s="21">
        <f ca="1">IFERROR(__xludf.DUMMYFUNCTION("""COMPUTED_VALUE"""),0)</f>
        <v>0</v>
      </c>
      <c r="O441" s="22">
        <f ca="1">IFERROR(__xludf.DUMMYFUNCTION("""COMPUTED_VALUE"""),60)</f>
        <v>60</v>
      </c>
      <c r="P441" s="22">
        <f ca="1">IFERROR(__xludf.DUMMYFUNCTION("""COMPUTED_VALUE"""),0)</f>
        <v>0</v>
      </c>
      <c r="Q441" s="23">
        <f ca="1">IFERROR(__xludf.DUMMYFUNCTION("""COMPUTED_VALUE"""),280)</f>
        <v>280</v>
      </c>
      <c r="R441" s="23">
        <f ca="1">IFERROR(__xludf.DUMMYFUNCTION("""COMPUTED_VALUE"""),0)</f>
        <v>0</v>
      </c>
      <c r="S441" s="24" t="str">
        <f ca="1">IFERROR(__xludf.DUMMYFUNCTION("""COMPUTED_VALUE"""),"Own Tempo")</f>
        <v>Own Tempo</v>
      </c>
      <c r="T441" s="25"/>
      <c r="U441" s="25"/>
      <c r="V441" s="25"/>
      <c r="W441" s="25"/>
      <c r="X441" s="25"/>
      <c r="Y441" s="25" t="str">
        <f ca="1">IFERROR(__xludf.DUMMYFUNCTION("""COMPUTED_VALUE"""),"?")</f>
        <v>?</v>
      </c>
    </row>
    <row r="442" spans="1:25" x14ac:dyDescent="0.25">
      <c r="A442" s="15" t="str">
        <f ca="1">IFERROR(__xludf.DUMMYFUNCTION("""COMPUTED_VALUE"""),"Midnight Lycanroc")</f>
        <v>Midnight Lycanroc</v>
      </c>
      <c r="B442" s="16">
        <f ca="1">IFERROR(__xludf.DUMMYFUNCTION("""COMPUTED_VALUE"""),106)</f>
        <v>106</v>
      </c>
      <c r="C442" s="3" t="str">
        <f ca="1">IFERROR(__xludf.DUMMYFUNCTION("""COMPUTED_VALUE"""),"Rock")</f>
        <v>Rock</v>
      </c>
      <c r="D442" s="3" t="str">
        <f ca="1">IFERROR(__xludf.DUMMYFUNCTION("""COMPUTED_VALUE"""),"Dark")</f>
        <v>Dark</v>
      </c>
      <c r="E442" s="17">
        <f ca="1">IFERROR(__xludf.DUMMYFUNCTION("""COMPUTED_VALUE"""),95)</f>
        <v>95</v>
      </c>
      <c r="F442" s="17">
        <f ca="1">IFERROR(__xludf.DUMMYFUNCTION("""COMPUTED_VALUE"""),10)</f>
        <v>10</v>
      </c>
      <c r="G442" s="18">
        <f ca="1">IFERROR(__xludf.DUMMYFUNCTION("""COMPUTED_VALUE"""),115)</f>
        <v>115</v>
      </c>
      <c r="H442" s="18">
        <f ca="1">IFERROR(__xludf.DUMMYFUNCTION("""COMPUTED_VALUE"""),0)</f>
        <v>0</v>
      </c>
      <c r="I442" s="19">
        <f ca="1">IFERROR(__xludf.DUMMYFUNCTION("""COMPUTED_VALUE"""),90)</f>
        <v>90</v>
      </c>
      <c r="J442" s="19">
        <f ca="1">IFERROR(__xludf.DUMMYFUNCTION("""COMPUTED_VALUE"""),15)</f>
        <v>15</v>
      </c>
      <c r="K442" s="20">
        <f ca="1">IFERROR(__xludf.DUMMYFUNCTION("""COMPUTED_VALUE"""),40)</f>
        <v>40</v>
      </c>
      <c r="L442" s="20">
        <f ca="1">IFERROR(__xludf.DUMMYFUNCTION("""COMPUTED_VALUE"""),-15)</f>
        <v>-15</v>
      </c>
      <c r="M442" s="21">
        <f ca="1">IFERROR(__xludf.DUMMYFUNCTION("""COMPUTED_VALUE"""),85)</f>
        <v>85</v>
      </c>
      <c r="N442" s="21">
        <f ca="1">IFERROR(__xludf.DUMMYFUNCTION("""COMPUTED_VALUE"""),10)</f>
        <v>10</v>
      </c>
      <c r="O442" s="22">
        <f ca="1">IFERROR(__xludf.DUMMYFUNCTION("""COMPUTED_VALUE"""),82)</f>
        <v>82</v>
      </c>
      <c r="P442" s="22">
        <f ca="1">IFERROR(__xludf.DUMMYFUNCTION("""COMPUTED_VALUE"""),0)</f>
        <v>0</v>
      </c>
      <c r="Q442" s="23">
        <f ca="1">IFERROR(__xludf.DUMMYFUNCTION("""COMPUTED_VALUE"""),507)</f>
        <v>507</v>
      </c>
      <c r="R442" s="23">
        <f ca="1">IFERROR(__xludf.DUMMYFUNCTION("""COMPUTED_VALUE"""),20)</f>
        <v>20</v>
      </c>
      <c r="S442" s="24" t="str">
        <f ca="1">IFERROR(__xludf.DUMMYFUNCTION("""COMPUTED_VALUE"""),"Sturdy")</f>
        <v>Sturdy</v>
      </c>
      <c r="T442" s="24" t="str">
        <f ca="1">IFERROR(__xludf.DUMMYFUNCTION("""COMPUTED_VALUE"""),"Tough Claws")</f>
        <v>Tough Claws</v>
      </c>
      <c r="U442" s="24" t="str">
        <f ca="1">IFERROR(__xludf.DUMMYFUNCTION("""COMPUTED_VALUE"""),"No Guard")</f>
        <v>No Guard</v>
      </c>
      <c r="V442" s="25" t="str">
        <f ca="1">IFERROR(__xludf.DUMMYFUNCTION("""COMPUTED_VALUE"""),"Lv. 25, Night")</f>
        <v>Lv. 25, Night</v>
      </c>
      <c r="W442" s="25"/>
      <c r="X442" s="25"/>
      <c r="Y442" s="25" t="str">
        <f ca="1">IFERROR(__xludf.DUMMYFUNCTION("""COMPUTED_VALUE"""),"Palati City (wild)")</f>
        <v>Palati City (wild)</v>
      </c>
    </row>
    <row r="443" spans="1:25" x14ac:dyDescent="0.25">
      <c r="A443" s="15" t="str">
        <f ca="1">IFERROR(__xludf.DUMMYFUNCTION("""COMPUTED_VALUE"""),"Dusk Lycanroc")</f>
        <v>Dusk Lycanroc</v>
      </c>
      <c r="B443" s="16">
        <f ca="1">IFERROR(__xludf.DUMMYFUNCTION("""COMPUTED_VALUE"""),106)</f>
        <v>106</v>
      </c>
      <c r="C443" s="3" t="str">
        <f ca="1">IFERROR(__xludf.DUMMYFUNCTION("""COMPUTED_VALUE"""),"Rock")</f>
        <v>Rock</v>
      </c>
      <c r="D443" s="3" t="str">
        <f ca="1">IFERROR(__xludf.DUMMYFUNCTION("""COMPUTED_VALUE"""),"Fighting")</f>
        <v>Fighting</v>
      </c>
      <c r="E443" s="17">
        <f ca="1">IFERROR(__xludf.DUMMYFUNCTION("""COMPUTED_VALUE"""),75)</f>
        <v>75</v>
      </c>
      <c r="F443" s="17">
        <f ca="1">IFERROR(__xludf.DUMMYFUNCTION("""COMPUTED_VALUE"""),0)</f>
        <v>0</v>
      </c>
      <c r="G443" s="18">
        <f ca="1">IFERROR(__xludf.DUMMYFUNCTION("""COMPUTED_VALUE"""),117)</f>
        <v>117</v>
      </c>
      <c r="H443" s="18">
        <f ca="1">IFERROR(__xludf.DUMMYFUNCTION("""COMPUTED_VALUE"""),0)</f>
        <v>0</v>
      </c>
      <c r="I443" s="19">
        <f ca="1">IFERROR(__xludf.DUMMYFUNCTION("""COMPUTED_VALUE"""),80)</f>
        <v>80</v>
      </c>
      <c r="J443" s="19">
        <f ca="1">IFERROR(__xludf.DUMMYFUNCTION("""COMPUTED_VALUE"""),15)</f>
        <v>15</v>
      </c>
      <c r="K443" s="20">
        <f ca="1">IFERROR(__xludf.DUMMYFUNCTION("""COMPUTED_VALUE"""),55)</f>
        <v>55</v>
      </c>
      <c r="L443" s="20">
        <f ca="1">IFERROR(__xludf.DUMMYFUNCTION("""COMPUTED_VALUE"""),0)</f>
        <v>0</v>
      </c>
      <c r="M443" s="21">
        <f ca="1">IFERROR(__xludf.DUMMYFUNCTION("""COMPUTED_VALUE"""),75)</f>
        <v>75</v>
      </c>
      <c r="N443" s="21">
        <f ca="1">IFERROR(__xludf.DUMMYFUNCTION("""COMPUTED_VALUE"""),10)</f>
        <v>10</v>
      </c>
      <c r="O443" s="22">
        <f ca="1">IFERROR(__xludf.DUMMYFUNCTION("""COMPUTED_VALUE"""),105)</f>
        <v>105</v>
      </c>
      <c r="P443" s="22">
        <f ca="1">IFERROR(__xludf.DUMMYFUNCTION("""COMPUTED_VALUE"""),-5)</f>
        <v>-5</v>
      </c>
      <c r="Q443" s="23">
        <f ca="1">IFERROR(__xludf.DUMMYFUNCTION("""COMPUTED_VALUE"""),507)</f>
        <v>507</v>
      </c>
      <c r="R443" s="23">
        <f ca="1">IFERROR(__xludf.DUMMYFUNCTION("""COMPUTED_VALUE"""),20)</f>
        <v>20</v>
      </c>
      <c r="S443" s="24" t="str">
        <f ca="1">IFERROR(__xludf.DUMMYFUNCTION("""COMPUTED_VALUE"""),"Tough Claws")</f>
        <v>Tough Claws</v>
      </c>
      <c r="T443" s="24" t="str">
        <f ca="1">IFERROR(__xludf.DUMMYFUNCTION("""COMPUTED_VALUE"""),"Strong Legs")</f>
        <v>Strong Legs</v>
      </c>
      <c r="U443" s="24" t="str">
        <f ca="1">IFERROR(__xludf.DUMMYFUNCTION("""COMPUTED_VALUE"""),"Fur Coat")</f>
        <v>Fur Coat</v>
      </c>
      <c r="V443" s="25" t="str">
        <f ca="1">IFERROR(__xludf.DUMMYFUNCTION("""COMPUTED_VALUE"""),"Lv. 25, Dusk (7-8pm)")</f>
        <v>Lv. 25, Dusk (7-8pm)</v>
      </c>
      <c r="W443" s="25"/>
      <c r="X443" s="25"/>
      <c r="Y443" s="25" t="str">
        <f ca="1">IFERROR(__xludf.DUMMYFUNCTION("""COMPUTED_VALUE"""),"Rockruff, Own Tempo Rockruff (evolve)")</f>
        <v>Rockruff, Own Tempo Rockruff (evolve)</v>
      </c>
    </row>
    <row r="444" spans="1:25" x14ac:dyDescent="0.25">
      <c r="A444" s="15" t="str">
        <f ca="1">IFERROR(__xludf.DUMMYFUNCTION("""COMPUTED_VALUE"""),"Paldean Wooper")</f>
        <v>Paldean Wooper</v>
      </c>
      <c r="B444" s="16">
        <f ca="1">IFERROR(__xludf.DUMMYFUNCTION("""COMPUTED_VALUE"""),134)</f>
        <v>134</v>
      </c>
      <c r="C444" s="3" t="str">
        <f ca="1">IFERROR(__xludf.DUMMYFUNCTION("""COMPUTED_VALUE"""),"Poison")</f>
        <v>Poison</v>
      </c>
      <c r="D444" s="3" t="str">
        <f ca="1">IFERROR(__xludf.DUMMYFUNCTION("""COMPUTED_VALUE"""),"Ground")</f>
        <v>Ground</v>
      </c>
      <c r="E444" s="17">
        <f ca="1">IFERROR(__xludf.DUMMYFUNCTION("""COMPUTED_VALUE"""),55)</f>
        <v>55</v>
      </c>
      <c r="F444" s="17">
        <f ca="1">IFERROR(__xludf.DUMMYFUNCTION("""COMPUTED_VALUE"""),0)</f>
        <v>0</v>
      </c>
      <c r="G444" s="18">
        <f ca="1">IFERROR(__xludf.DUMMYFUNCTION("""COMPUTED_VALUE"""),45)</f>
        <v>45</v>
      </c>
      <c r="H444" s="18">
        <f ca="1">IFERROR(__xludf.DUMMYFUNCTION("""COMPUTED_VALUE"""),0)</f>
        <v>0</v>
      </c>
      <c r="I444" s="19">
        <f ca="1">IFERROR(__xludf.DUMMYFUNCTION("""COMPUTED_VALUE"""),45)</f>
        <v>45</v>
      </c>
      <c r="J444" s="19">
        <f ca="1">IFERROR(__xludf.DUMMYFUNCTION("""COMPUTED_VALUE"""),0)</f>
        <v>0</v>
      </c>
      <c r="K444" s="20">
        <f ca="1">IFERROR(__xludf.DUMMYFUNCTION("""COMPUTED_VALUE"""),25)</f>
        <v>25</v>
      </c>
      <c r="L444" s="20">
        <f ca="1">IFERROR(__xludf.DUMMYFUNCTION("""COMPUTED_VALUE"""),0)</f>
        <v>0</v>
      </c>
      <c r="M444" s="21">
        <f ca="1">IFERROR(__xludf.DUMMYFUNCTION("""COMPUTED_VALUE"""),25)</f>
        <v>25</v>
      </c>
      <c r="N444" s="21">
        <f ca="1">IFERROR(__xludf.DUMMYFUNCTION("""COMPUTED_VALUE"""),0)</f>
        <v>0</v>
      </c>
      <c r="O444" s="22">
        <f ca="1">IFERROR(__xludf.DUMMYFUNCTION("""COMPUTED_VALUE"""),15)</f>
        <v>15</v>
      </c>
      <c r="P444" s="22">
        <f ca="1">IFERROR(__xludf.DUMMYFUNCTION("""COMPUTED_VALUE"""),0)</f>
        <v>0</v>
      </c>
      <c r="Q444" s="23">
        <f ca="1">IFERROR(__xludf.DUMMYFUNCTION("""COMPUTED_VALUE"""),210)</f>
        <v>210</v>
      </c>
      <c r="R444" s="23">
        <f ca="1">IFERROR(__xludf.DUMMYFUNCTION("""COMPUTED_VALUE"""),0)</f>
        <v>0</v>
      </c>
      <c r="S444" s="24" t="str">
        <f ca="1">IFERROR(__xludf.DUMMYFUNCTION("""COMPUTED_VALUE"""),"Poison Point")</f>
        <v>Poison Point</v>
      </c>
      <c r="T444" s="24" t="str">
        <f ca="1">IFERROR(__xludf.DUMMYFUNCTION("""COMPUTED_VALUE"""),"Water Absorb")</f>
        <v>Water Absorb</v>
      </c>
      <c r="U444" s="24" t="str">
        <f ca="1">IFERROR(__xludf.DUMMYFUNCTION("""COMPUTED_VALUE"""),"Unaware")</f>
        <v>Unaware</v>
      </c>
      <c r="V444" s="25"/>
      <c r="W444" s="25"/>
      <c r="X444" s="25"/>
      <c r="Y444" s="25" t="str">
        <f ca="1">IFERROR(__xludf.DUMMYFUNCTION("""COMPUTED_VALUE"""),"Riverwalk Trail S, Wanderer`s Woods, Fresco Isles (wild)")</f>
        <v>Riverwalk Trail S, Wanderer`s Woods, Fresco Isles (wild)</v>
      </c>
    </row>
    <row r="445" spans="1:25" x14ac:dyDescent="0.25">
      <c r="A445" s="15" t="str">
        <f ca="1">IFERROR(__xludf.DUMMYFUNCTION("""COMPUTED_VALUE"""),"Alolan Vulpix")</f>
        <v>Alolan Vulpix</v>
      </c>
      <c r="B445" s="16">
        <f ca="1">IFERROR(__xludf.DUMMYFUNCTION("""COMPUTED_VALUE"""),147)</f>
        <v>147</v>
      </c>
      <c r="C445" s="3" t="str">
        <f ca="1">IFERROR(__xludf.DUMMYFUNCTION("""COMPUTED_VALUE"""),"Ice")</f>
        <v>Ice</v>
      </c>
      <c r="D445" s="3" t="str">
        <f ca="1">IFERROR(__xludf.DUMMYFUNCTION("""COMPUTED_VALUE"""),"Fairy")</f>
        <v>Fairy</v>
      </c>
      <c r="E445" s="17">
        <f ca="1">IFERROR(__xludf.DUMMYFUNCTION("""COMPUTED_VALUE"""),38)</f>
        <v>38</v>
      </c>
      <c r="F445" s="17">
        <f ca="1">IFERROR(__xludf.DUMMYFUNCTION("""COMPUTED_VALUE"""),0)</f>
        <v>0</v>
      </c>
      <c r="G445" s="18">
        <f ca="1">IFERROR(__xludf.DUMMYFUNCTION("""COMPUTED_VALUE"""),41)</f>
        <v>41</v>
      </c>
      <c r="H445" s="18">
        <f ca="1">IFERROR(__xludf.DUMMYFUNCTION("""COMPUTED_VALUE"""),0)</f>
        <v>0</v>
      </c>
      <c r="I445" s="19">
        <f ca="1">IFERROR(__xludf.DUMMYFUNCTION("""COMPUTED_VALUE"""),40)</f>
        <v>40</v>
      </c>
      <c r="J445" s="19">
        <f ca="1">IFERROR(__xludf.DUMMYFUNCTION("""COMPUTED_VALUE"""),0)</f>
        <v>0</v>
      </c>
      <c r="K445" s="20">
        <f ca="1">IFERROR(__xludf.DUMMYFUNCTION("""COMPUTED_VALUE"""),60)</f>
        <v>60</v>
      </c>
      <c r="L445" s="20">
        <f ca="1">IFERROR(__xludf.DUMMYFUNCTION("""COMPUTED_VALUE"""),10)</f>
        <v>10</v>
      </c>
      <c r="M445" s="21">
        <f ca="1">IFERROR(__xludf.DUMMYFUNCTION("""COMPUTED_VALUE"""),65)</f>
        <v>65</v>
      </c>
      <c r="N445" s="21">
        <f ca="1">IFERROR(__xludf.DUMMYFUNCTION("""COMPUTED_VALUE"""),0)</f>
        <v>0</v>
      </c>
      <c r="O445" s="22">
        <f ca="1">IFERROR(__xludf.DUMMYFUNCTION("""COMPUTED_VALUE"""),65)</f>
        <v>65</v>
      </c>
      <c r="P445" s="22">
        <f ca="1">IFERROR(__xludf.DUMMYFUNCTION("""COMPUTED_VALUE"""),0)</f>
        <v>0</v>
      </c>
      <c r="Q445" s="23">
        <f ca="1">IFERROR(__xludf.DUMMYFUNCTION("""COMPUTED_VALUE"""),309)</f>
        <v>309</v>
      </c>
      <c r="R445" s="23">
        <f ca="1">IFERROR(__xludf.DUMMYFUNCTION("""COMPUTED_VALUE"""),10)</f>
        <v>10</v>
      </c>
      <c r="S445" s="24" t="str">
        <f ca="1">IFERROR(__xludf.DUMMYFUNCTION("""COMPUTED_VALUE"""),"Snow Cloak")</f>
        <v>Snow Cloak</v>
      </c>
      <c r="T445" s="25"/>
      <c r="U445" s="24" t="str">
        <f ca="1">IFERROR(__xludf.DUMMYFUNCTION("""COMPUTED_VALUE"""),"Snow Warning")</f>
        <v>Snow Warning</v>
      </c>
      <c r="V445" s="25"/>
      <c r="W445" s="25"/>
      <c r="X445" s="25" t="str">
        <f ca="1">IFERROR(__xludf.DUMMYFUNCTION("""COMPUTED_VALUE"""),"Snowball")</f>
        <v>Snowball</v>
      </c>
      <c r="Y445" s="25" t="str">
        <f ca="1">IFERROR(__xludf.DUMMYFUNCTION("""COMPUTED_VALUE"""),"Jusmail Town, Pythios Cemetery, Froslass Cavern (wild)")</f>
        <v>Jusmail Town, Pythios Cemetery, Froslass Cavern (wild)</v>
      </c>
    </row>
    <row r="446" spans="1:25" x14ac:dyDescent="0.25">
      <c r="A446" s="15" t="str">
        <f ca="1">IFERROR(__xludf.DUMMYFUNCTION("""COMPUTED_VALUE"""),"Alolan Ninetales")</f>
        <v>Alolan Ninetales</v>
      </c>
      <c r="B446" s="16">
        <f ca="1">IFERROR(__xludf.DUMMYFUNCTION("""COMPUTED_VALUE"""),148)</f>
        <v>148</v>
      </c>
      <c r="C446" s="3" t="str">
        <f ca="1">IFERROR(__xludf.DUMMYFUNCTION("""COMPUTED_VALUE"""),"Ice")</f>
        <v>Ice</v>
      </c>
      <c r="D446" s="3" t="str">
        <f ca="1">IFERROR(__xludf.DUMMYFUNCTION("""COMPUTED_VALUE"""),"Fairy")</f>
        <v>Fairy</v>
      </c>
      <c r="E446" s="17">
        <f ca="1">IFERROR(__xludf.DUMMYFUNCTION("""COMPUTED_VALUE"""),83)</f>
        <v>83</v>
      </c>
      <c r="F446" s="17">
        <f ca="1">IFERROR(__xludf.DUMMYFUNCTION("""COMPUTED_VALUE"""),10)</f>
        <v>10</v>
      </c>
      <c r="G446" s="18">
        <f ca="1">IFERROR(__xludf.DUMMYFUNCTION("""COMPUTED_VALUE"""),67)</f>
        <v>67</v>
      </c>
      <c r="H446" s="18">
        <f ca="1">IFERROR(__xludf.DUMMYFUNCTION("""COMPUTED_VALUE"""),0)</f>
        <v>0</v>
      </c>
      <c r="I446" s="19">
        <f ca="1">IFERROR(__xludf.DUMMYFUNCTION("""COMPUTED_VALUE"""),75)</f>
        <v>75</v>
      </c>
      <c r="J446" s="19">
        <f ca="1">IFERROR(__xludf.DUMMYFUNCTION("""COMPUTED_VALUE"""),0)</f>
        <v>0</v>
      </c>
      <c r="K446" s="20">
        <f ca="1">IFERROR(__xludf.DUMMYFUNCTION("""COMPUTED_VALUE"""),96)</f>
        <v>96</v>
      </c>
      <c r="L446" s="20">
        <f ca="1">IFERROR(__xludf.DUMMYFUNCTION("""COMPUTED_VALUE"""),15)</f>
        <v>15</v>
      </c>
      <c r="M446" s="21">
        <f ca="1">IFERROR(__xludf.DUMMYFUNCTION("""COMPUTED_VALUE"""),100)</f>
        <v>100</v>
      </c>
      <c r="N446" s="21">
        <f ca="1">IFERROR(__xludf.DUMMYFUNCTION("""COMPUTED_VALUE"""),0)</f>
        <v>0</v>
      </c>
      <c r="O446" s="22">
        <f ca="1">IFERROR(__xludf.DUMMYFUNCTION("""COMPUTED_VALUE"""),114)</f>
        <v>114</v>
      </c>
      <c r="P446" s="22">
        <f ca="1">IFERROR(__xludf.DUMMYFUNCTION("""COMPUTED_VALUE"""),5)</f>
        <v>5</v>
      </c>
      <c r="Q446" s="23">
        <f ca="1">IFERROR(__xludf.DUMMYFUNCTION("""COMPUTED_VALUE"""),535)</f>
        <v>535</v>
      </c>
      <c r="R446" s="23">
        <f ca="1">IFERROR(__xludf.DUMMYFUNCTION("""COMPUTED_VALUE"""),30)</f>
        <v>30</v>
      </c>
      <c r="S446" s="24" t="str">
        <f ca="1">IFERROR(__xludf.DUMMYFUNCTION("""COMPUTED_VALUE"""),"Snow Cloak")</f>
        <v>Snow Cloak</v>
      </c>
      <c r="T446" s="25"/>
      <c r="U446" s="24" t="str">
        <f ca="1">IFERROR(__xludf.DUMMYFUNCTION("""COMPUTED_VALUE"""),"Snow Warning")</f>
        <v>Snow Warning</v>
      </c>
      <c r="V446" s="25" t="str">
        <f ca="1">IFERROR(__xludf.DUMMYFUNCTION("""COMPUTED_VALUE"""),"Ice Stone")</f>
        <v>Ice Stone</v>
      </c>
      <c r="W446" s="25"/>
      <c r="X446" s="25" t="str">
        <f ca="1">IFERROR(__xludf.DUMMYFUNCTION("""COMPUTED_VALUE"""),"Snowball")</f>
        <v>Snowball</v>
      </c>
      <c r="Y446" s="25" t="str">
        <f ca="1">IFERROR(__xludf.DUMMYFUNCTION("""COMPUTED_VALUE"""),"Alolan Vulpix (evolve)")</f>
        <v>Alolan Vulpix (evolve)</v>
      </c>
    </row>
    <row r="447" spans="1:25" x14ac:dyDescent="0.25">
      <c r="A447" s="15" t="str">
        <f ca="1">IFERROR(__xludf.DUMMYFUNCTION("""COMPUTED_VALUE"""),"Aegislash Blade")</f>
        <v>Aegislash Blade</v>
      </c>
      <c r="B447" s="16">
        <f ca="1">IFERROR(__xludf.DUMMYFUNCTION("""COMPUTED_VALUE"""),151)</f>
        <v>151</v>
      </c>
      <c r="C447" s="3" t="str">
        <f ca="1">IFERROR(__xludf.DUMMYFUNCTION("""COMPUTED_VALUE"""),"Steel")</f>
        <v>Steel</v>
      </c>
      <c r="D447" s="3" t="str">
        <f ca="1">IFERROR(__xludf.DUMMYFUNCTION("""COMPUTED_VALUE"""),"Ghost")</f>
        <v>Ghost</v>
      </c>
      <c r="E447" s="17">
        <f ca="1">IFERROR(__xludf.DUMMYFUNCTION("""COMPUTED_VALUE"""),60)</f>
        <v>60</v>
      </c>
      <c r="F447" s="17">
        <f ca="1">IFERROR(__xludf.DUMMYFUNCTION("""COMPUTED_VALUE"""),0)</f>
        <v>0</v>
      </c>
      <c r="G447" s="18">
        <f ca="1">IFERROR(__xludf.DUMMYFUNCTION("""COMPUTED_VALUE"""),140)</f>
        <v>140</v>
      </c>
      <c r="H447" s="18">
        <f ca="1">IFERROR(__xludf.DUMMYFUNCTION("""COMPUTED_VALUE"""),0)</f>
        <v>0</v>
      </c>
      <c r="I447" s="19">
        <f ca="1">IFERROR(__xludf.DUMMYFUNCTION("""COMPUTED_VALUE"""),50)</f>
        <v>50</v>
      </c>
      <c r="J447" s="19">
        <f ca="1">IFERROR(__xludf.DUMMYFUNCTION("""COMPUTED_VALUE"""),0)</f>
        <v>0</v>
      </c>
      <c r="K447" s="20">
        <f ca="1">IFERROR(__xludf.DUMMYFUNCTION("""COMPUTED_VALUE"""),140)</f>
        <v>140</v>
      </c>
      <c r="L447" s="20">
        <f ca="1">IFERROR(__xludf.DUMMYFUNCTION("""COMPUTED_VALUE"""),0)</f>
        <v>0</v>
      </c>
      <c r="M447" s="21">
        <f ca="1">IFERROR(__xludf.DUMMYFUNCTION("""COMPUTED_VALUE"""),50)</f>
        <v>50</v>
      </c>
      <c r="N447" s="21">
        <f ca="1">IFERROR(__xludf.DUMMYFUNCTION("""COMPUTED_VALUE"""),0)</f>
        <v>0</v>
      </c>
      <c r="O447" s="22">
        <f ca="1">IFERROR(__xludf.DUMMYFUNCTION("""COMPUTED_VALUE"""),60)</f>
        <v>60</v>
      </c>
      <c r="P447" s="22">
        <f ca="1">IFERROR(__xludf.DUMMYFUNCTION("""COMPUTED_VALUE"""),0)</f>
        <v>0</v>
      </c>
      <c r="Q447" s="23">
        <f ca="1">IFERROR(__xludf.DUMMYFUNCTION("""COMPUTED_VALUE"""),500)</f>
        <v>500</v>
      </c>
      <c r="R447" s="23">
        <f ca="1">IFERROR(__xludf.DUMMYFUNCTION("""COMPUTED_VALUE"""),0)</f>
        <v>0</v>
      </c>
      <c r="S447" s="24" t="str">
        <f ca="1">IFERROR(__xludf.DUMMYFUNCTION("""COMPUTED_VALUE"""),"Stance Change")</f>
        <v>Stance Change</v>
      </c>
      <c r="T447" s="25"/>
      <c r="U447" s="25"/>
      <c r="V447" s="25" t="str">
        <f ca="1">IFERROR(__xludf.DUMMYFUNCTION("""COMPUTED_VALUE"""),"Dusk Stone")</f>
        <v>Dusk Stone</v>
      </c>
      <c r="W447" s="25"/>
      <c r="X447" s="25"/>
      <c r="Y447" s="25" t="str">
        <f ca="1">IFERROR(__xludf.DUMMYFUNCTION("""COMPUTED_VALUE"""),"The Stygian Caves (wild)")</f>
        <v>The Stygian Caves (wild)</v>
      </c>
    </row>
    <row r="448" spans="1:25" x14ac:dyDescent="0.25">
      <c r="A448" s="15" t="str">
        <f ca="1">IFERROR(__xludf.DUMMYFUNCTION("""COMPUTED_VALUE"""),"Minior Core")</f>
        <v>Minior Core</v>
      </c>
      <c r="B448" s="16">
        <f ca="1">IFERROR(__xludf.DUMMYFUNCTION("""COMPUTED_VALUE"""),154)</f>
        <v>154</v>
      </c>
      <c r="C448" s="26" t="str">
        <f ca="1">IFERROR(__xludf.DUMMYFUNCTION("""COMPUTED_VALUE"""),"Rock")</f>
        <v>Rock</v>
      </c>
      <c r="D448" s="3" t="str">
        <f ca="1">IFERROR(__xludf.DUMMYFUNCTION("""COMPUTED_VALUE"""),"Flying")</f>
        <v>Flying</v>
      </c>
      <c r="E448" s="17">
        <f ca="1">IFERROR(__xludf.DUMMYFUNCTION("""COMPUTED_VALUE"""),60)</f>
        <v>60</v>
      </c>
      <c r="F448" s="17">
        <f ca="1">IFERROR(__xludf.DUMMYFUNCTION("""COMPUTED_VALUE"""),0)</f>
        <v>0</v>
      </c>
      <c r="G448" s="18">
        <f ca="1">IFERROR(__xludf.DUMMYFUNCTION("""COMPUTED_VALUE"""),110)</f>
        <v>110</v>
      </c>
      <c r="H448" s="18">
        <f ca="1">IFERROR(__xludf.DUMMYFUNCTION("""COMPUTED_VALUE"""),10)</f>
        <v>10</v>
      </c>
      <c r="I448" s="19">
        <f ca="1">IFERROR(__xludf.DUMMYFUNCTION("""COMPUTED_VALUE"""),65)</f>
        <v>65</v>
      </c>
      <c r="J448" s="19">
        <f ca="1">IFERROR(__xludf.DUMMYFUNCTION("""COMPUTED_VALUE"""),5)</f>
        <v>5</v>
      </c>
      <c r="K448" s="20">
        <f ca="1">IFERROR(__xludf.DUMMYFUNCTION("""COMPUTED_VALUE"""),110)</f>
        <v>110</v>
      </c>
      <c r="L448" s="20">
        <f ca="1">IFERROR(__xludf.DUMMYFUNCTION("""COMPUTED_VALUE"""),10)</f>
        <v>10</v>
      </c>
      <c r="M448" s="21">
        <f ca="1">IFERROR(__xludf.DUMMYFUNCTION("""COMPUTED_VALUE"""),65)</f>
        <v>65</v>
      </c>
      <c r="N448" s="21">
        <f ca="1">IFERROR(__xludf.DUMMYFUNCTION("""COMPUTED_VALUE"""),5)</f>
        <v>5</v>
      </c>
      <c r="O448" s="22">
        <f ca="1">IFERROR(__xludf.DUMMYFUNCTION("""COMPUTED_VALUE"""),120)</f>
        <v>120</v>
      </c>
      <c r="P448" s="22">
        <f ca="1">IFERROR(__xludf.DUMMYFUNCTION("""COMPUTED_VALUE"""),0)</f>
        <v>0</v>
      </c>
      <c r="Q448" s="23">
        <f ca="1">IFERROR(__xludf.DUMMYFUNCTION("""COMPUTED_VALUE"""),530)</f>
        <v>530</v>
      </c>
      <c r="R448" s="23">
        <f ca="1">IFERROR(__xludf.DUMMYFUNCTION("""COMPUTED_VALUE"""),30)</f>
        <v>30</v>
      </c>
      <c r="S448" s="24" t="str">
        <f ca="1">IFERROR(__xludf.DUMMYFUNCTION("""COMPUTED_VALUE"""),"Shields Down")</f>
        <v>Shields Down</v>
      </c>
      <c r="T448" s="25"/>
      <c r="U448" s="25"/>
      <c r="V448" s="25"/>
      <c r="W448" s="25"/>
      <c r="X448" s="25" t="str">
        <f ca="1">IFERROR(__xludf.DUMMYFUNCTION("""COMPUTED_VALUE"""),"Star Piece")</f>
        <v>Star Piece</v>
      </c>
      <c r="Y448" s="25" t="str">
        <f ca="1">IFERROR(__xludf.DUMMYFUNCTION("""COMPUTED_VALUE"""),"Erinys Path W, Erinys Path E (wild)")</f>
        <v>Erinys Path W, Erinys Path E (wild)</v>
      </c>
    </row>
    <row r="449" spans="1:25" x14ac:dyDescent="0.25">
      <c r="A449" s="25" t="str">
        <f ca="1">IFERROR(__xludf.DUMMYFUNCTION("""COMPUTED_VALUE"""),"Hero Palafin")</f>
        <v>Hero Palafin</v>
      </c>
      <c r="B449" s="27">
        <f ca="1">IFERROR(__xludf.DUMMYFUNCTION("""COMPUTED_VALUE"""),163)</f>
        <v>163</v>
      </c>
      <c r="C449" s="26" t="str">
        <f ca="1">IFERROR(__xludf.DUMMYFUNCTION("""COMPUTED_VALUE"""),"Water")</f>
        <v>Water</v>
      </c>
      <c r="D449" s="3"/>
      <c r="E449" s="17">
        <f ca="1">IFERROR(__xludf.DUMMYFUNCTION("""COMPUTED_VALUE"""),100)</f>
        <v>100</v>
      </c>
      <c r="F449" s="17">
        <f ca="1">IFERROR(__xludf.DUMMYFUNCTION("""COMPUTED_VALUE"""),0)</f>
        <v>0</v>
      </c>
      <c r="G449" s="18">
        <f ca="1">IFERROR(__xludf.DUMMYFUNCTION("""COMPUTED_VALUE"""),160)</f>
        <v>160</v>
      </c>
      <c r="H449" s="18">
        <f ca="1">IFERROR(__xludf.DUMMYFUNCTION("""COMPUTED_VALUE"""),0)</f>
        <v>0</v>
      </c>
      <c r="I449" s="19">
        <f ca="1">IFERROR(__xludf.DUMMYFUNCTION("""COMPUTED_VALUE"""),97)</f>
        <v>97</v>
      </c>
      <c r="J449" s="19">
        <f ca="1">IFERROR(__xludf.DUMMYFUNCTION("""COMPUTED_VALUE"""),0)</f>
        <v>0</v>
      </c>
      <c r="K449" s="20">
        <f ca="1">IFERROR(__xludf.DUMMYFUNCTION("""COMPUTED_VALUE"""),106)</f>
        <v>106</v>
      </c>
      <c r="L449" s="20">
        <f ca="1">IFERROR(__xludf.DUMMYFUNCTION("""COMPUTED_VALUE"""),0)</f>
        <v>0</v>
      </c>
      <c r="M449" s="21">
        <f ca="1">IFERROR(__xludf.DUMMYFUNCTION("""COMPUTED_VALUE"""),87)</f>
        <v>87</v>
      </c>
      <c r="N449" s="21">
        <f ca="1">IFERROR(__xludf.DUMMYFUNCTION("""COMPUTED_VALUE"""),0)</f>
        <v>0</v>
      </c>
      <c r="O449" s="22">
        <f ca="1">IFERROR(__xludf.DUMMYFUNCTION("""COMPUTED_VALUE"""),100)</f>
        <v>100</v>
      </c>
      <c r="P449" s="22">
        <f ca="1">IFERROR(__xludf.DUMMYFUNCTION("""COMPUTED_VALUE"""),0)</f>
        <v>0</v>
      </c>
      <c r="Q449" s="23">
        <f ca="1">IFERROR(__xludf.DUMMYFUNCTION("""COMPUTED_VALUE"""),650)</f>
        <v>650</v>
      </c>
      <c r="R449" s="23">
        <f ca="1">IFERROR(__xludf.DUMMYFUNCTION("""COMPUTED_VALUE"""),0)</f>
        <v>0</v>
      </c>
      <c r="S449" s="24" t="str">
        <f ca="1">IFERROR(__xludf.DUMMYFUNCTION("""COMPUTED_VALUE"""),"Zero to Hero")</f>
        <v>Zero to Hero</v>
      </c>
      <c r="T449" s="25"/>
      <c r="U449" s="25"/>
      <c r="V449" s="25"/>
      <c r="W449" s="25"/>
      <c r="X449" s="25"/>
      <c r="Y449" s="25"/>
    </row>
    <row r="450" spans="1:25" x14ac:dyDescent="0.25">
      <c r="A450" s="25" t="str">
        <f ca="1">IFERROR(__xludf.DUMMYFUNCTION("""COMPUTED_VALUE"""),"Cherrim Sunny")</f>
        <v>Cherrim Sunny</v>
      </c>
      <c r="B450" s="27">
        <f ca="1">IFERROR(__xludf.DUMMYFUNCTION("""COMPUTED_VALUE"""),168)</f>
        <v>168</v>
      </c>
      <c r="C450" s="26" t="str">
        <f ca="1">IFERROR(__xludf.DUMMYFUNCTION("""COMPUTED_VALUE"""),"Grass")</f>
        <v>Grass</v>
      </c>
      <c r="D450" s="3" t="str">
        <f ca="1">IFERROR(__xludf.DUMMYFUNCTION("""COMPUTED_VALUE"""),"Fire")</f>
        <v>Fire</v>
      </c>
      <c r="E450" s="17">
        <f ca="1">IFERROR(__xludf.DUMMYFUNCTION("""COMPUTED_VALUE"""),70)</f>
        <v>70</v>
      </c>
      <c r="F450" s="17">
        <f ca="1">IFERROR(__xludf.DUMMYFUNCTION("""COMPUTED_VALUE"""),0)</f>
        <v>0</v>
      </c>
      <c r="G450" s="18">
        <f ca="1">IFERROR(__xludf.DUMMYFUNCTION("""COMPUTED_VALUE"""),60)</f>
        <v>60</v>
      </c>
      <c r="H450" s="18">
        <f ca="1">IFERROR(__xludf.DUMMYFUNCTION("""COMPUTED_VALUE"""),0)</f>
        <v>0</v>
      </c>
      <c r="I450" s="19">
        <f ca="1">IFERROR(__xludf.DUMMYFUNCTION("""COMPUTED_VALUE"""),70)</f>
        <v>70</v>
      </c>
      <c r="J450" s="19">
        <f ca="1">IFERROR(__xludf.DUMMYFUNCTION("""COMPUTED_VALUE"""),0)</f>
        <v>0</v>
      </c>
      <c r="K450" s="20">
        <f ca="1">IFERROR(__xludf.DUMMYFUNCTION("""COMPUTED_VALUE"""),112)</f>
        <v>112</v>
      </c>
      <c r="L450" s="20">
        <f ca="1">IFERROR(__xludf.DUMMYFUNCTION("""COMPUTED_VALUE"""),25)</f>
        <v>25</v>
      </c>
      <c r="M450" s="21">
        <f ca="1">IFERROR(__xludf.DUMMYFUNCTION("""COMPUTED_VALUE"""),78)</f>
        <v>78</v>
      </c>
      <c r="N450" s="21">
        <f ca="1">IFERROR(__xludf.DUMMYFUNCTION("""COMPUTED_VALUE"""),0)</f>
        <v>0</v>
      </c>
      <c r="O450" s="22">
        <f ca="1">IFERROR(__xludf.DUMMYFUNCTION("""COMPUTED_VALUE"""),100)</f>
        <v>100</v>
      </c>
      <c r="P450" s="22">
        <f ca="1">IFERROR(__xludf.DUMMYFUNCTION("""COMPUTED_VALUE"""),15)</f>
        <v>15</v>
      </c>
      <c r="Q450" s="23">
        <f ca="1">IFERROR(__xludf.DUMMYFUNCTION("""COMPUTED_VALUE"""),490)</f>
        <v>490</v>
      </c>
      <c r="R450" s="23">
        <f ca="1">IFERROR(__xludf.DUMMYFUNCTION("""COMPUTED_VALUE"""),40)</f>
        <v>40</v>
      </c>
      <c r="S450" s="24" t="str">
        <f ca="1">IFERROR(__xludf.DUMMYFUNCTION("""COMPUTED_VALUE"""),"Flower Gift")</f>
        <v>Flower Gift</v>
      </c>
      <c r="T450" s="25"/>
      <c r="U450" s="25"/>
      <c r="V450" s="25" t="str">
        <f ca="1">IFERROR(__xludf.DUMMYFUNCTION("""COMPUTED_VALUE"""),"Lv. 25")</f>
        <v>Lv. 25</v>
      </c>
      <c r="W450" s="25"/>
      <c r="X450" s="25" t="str">
        <f ca="1">IFERROR(__xludf.DUMMYFUNCTION("""COMPUTED_VALUE"""),"Miracle Seed")</f>
        <v>Miracle Seed</v>
      </c>
      <c r="Y450" s="25" t="str">
        <f ca="1">IFERROR(__xludf.DUMMYFUNCTION("""COMPUTED_VALUE"""),"Port Pello, Kaptara Island (wild)")</f>
        <v>Port Pello, Kaptara Island (wild)</v>
      </c>
    </row>
    <row r="451" spans="1:25" x14ac:dyDescent="0.25">
      <c r="A451" s="25" t="str">
        <f ca="1">IFERROR(__xludf.DUMMYFUNCTION("""COMPUTED_VALUE"""),"Hisuian Zorua")</f>
        <v>Hisuian Zorua</v>
      </c>
      <c r="B451" s="27">
        <f ca="1">IFERROR(__xludf.DUMMYFUNCTION("""COMPUTED_VALUE"""),198)</f>
        <v>198</v>
      </c>
      <c r="C451" s="26" t="str">
        <f ca="1">IFERROR(__xludf.DUMMYFUNCTION("""COMPUTED_VALUE"""),"Normal")</f>
        <v>Normal</v>
      </c>
      <c r="D451" s="3" t="str">
        <f ca="1">IFERROR(__xludf.DUMMYFUNCTION("""COMPUTED_VALUE"""),"Ghost")</f>
        <v>Ghost</v>
      </c>
      <c r="E451" s="17">
        <f ca="1">IFERROR(__xludf.DUMMYFUNCTION("""COMPUTED_VALUE"""),35)</f>
        <v>35</v>
      </c>
      <c r="F451" s="17">
        <f ca="1">IFERROR(__xludf.DUMMYFUNCTION("""COMPUTED_VALUE"""),0)</f>
        <v>0</v>
      </c>
      <c r="G451" s="18">
        <f ca="1">IFERROR(__xludf.DUMMYFUNCTION("""COMPUTED_VALUE"""),60)</f>
        <v>60</v>
      </c>
      <c r="H451" s="18">
        <f ca="1">IFERROR(__xludf.DUMMYFUNCTION("""COMPUTED_VALUE"""),0)</f>
        <v>0</v>
      </c>
      <c r="I451" s="19">
        <f ca="1">IFERROR(__xludf.DUMMYFUNCTION("""COMPUTED_VALUE"""),40)</f>
        <v>40</v>
      </c>
      <c r="J451" s="19">
        <f ca="1">IFERROR(__xludf.DUMMYFUNCTION("""COMPUTED_VALUE"""),0)</f>
        <v>0</v>
      </c>
      <c r="K451" s="20">
        <f ca="1">IFERROR(__xludf.DUMMYFUNCTION("""COMPUTED_VALUE"""),85)</f>
        <v>85</v>
      </c>
      <c r="L451" s="20">
        <f ca="1">IFERROR(__xludf.DUMMYFUNCTION("""COMPUTED_VALUE"""),0)</f>
        <v>0</v>
      </c>
      <c r="M451" s="21">
        <f ca="1">IFERROR(__xludf.DUMMYFUNCTION("""COMPUTED_VALUE"""),40)</f>
        <v>40</v>
      </c>
      <c r="N451" s="21">
        <f ca="1">IFERROR(__xludf.DUMMYFUNCTION("""COMPUTED_VALUE"""),0)</f>
        <v>0</v>
      </c>
      <c r="O451" s="22">
        <f ca="1">IFERROR(__xludf.DUMMYFUNCTION("""COMPUTED_VALUE"""),70)</f>
        <v>70</v>
      </c>
      <c r="P451" s="22">
        <f ca="1">IFERROR(__xludf.DUMMYFUNCTION("""COMPUTED_VALUE"""),0)</f>
        <v>0</v>
      </c>
      <c r="Q451" s="23">
        <f ca="1">IFERROR(__xludf.DUMMYFUNCTION("""COMPUTED_VALUE"""),330)</f>
        <v>330</v>
      </c>
      <c r="R451" s="23">
        <f ca="1">IFERROR(__xludf.DUMMYFUNCTION("""COMPUTED_VALUE"""),0)</f>
        <v>0</v>
      </c>
      <c r="S451" s="24" t="str">
        <f ca="1">IFERROR(__xludf.DUMMYFUNCTION("""COMPUTED_VALUE"""),"Illusion")</f>
        <v>Illusion</v>
      </c>
      <c r="T451" s="25"/>
      <c r="U451" s="24" t="str">
        <f ca="1">IFERROR(__xludf.DUMMYFUNCTION("""COMPUTED_VALUE"""),"Fluffy")</f>
        <v>Fluffy</v>
      </c>
      <c r="V451" s="25"/>
      <c r="W451" s="25"/>
      <c r="X451" s="25"/>
      <c r="Y451" s="25" t="str">
        <f ca="1">IFERROR(__xludf.DUMMYFUNCTION("""COMPUTED_VALUE"""),"Erinys Path W (wild)")</f>
        <v>Erinys Path W (wild)</v>
      </c>
    </row>
    <row r="452" spans="1:25" x14ac:dyDescent="0.25">
      <c r="A452" s="25" t="str">
        <f ca="1">IFERROR(__xludf.DUMMYFUNCTION("""COMPUTED_VALUE"""),"Hisuian Zoroark")</f>
        <v>Hisuian Zoroark</v>
      </c>
      <c r="B452" s="27">
        <f ca="1">IFERROR(__xludf.DUMMYFUNCTION("""COMPUTED_VALUE"""),199)</f>
        <v>199</v>
      </c>
      <c r="C452" s="26" t="str">
        <f ca="1">IFERROR(__xludf.DUMMYFUNCTION("""COMPUTED_VALUE"""),"Normal")</f>
        <v>Normal</v>
      </c>
      <c r="D452" s="3" t="str">
        <f ca="1">IFERROR(__xludf.DUMMYFUNCTION("""COMPUTED_VALUE"""),"Ghost")</f>
        <v>Ghost</v>
      </c>
      <c r="E452" s="17">
        <f ca="1">IFERROR(__xludf.DUMMYFUNCTION("""COMPUTED_VALUE"""),55)</f>
        <v>55</v>
      </c>
      <c r="F452" s="17">
        <f ca="1">IFERROR(__xludf.DUMMYFUNCTION("""COMPUTED_VALUE"""),0)</f>
        <v>0</v>
      </c>
      <c r="G452" s="18">
        <f ca="1">IFERROR(__xludf.DUMMYFUNCTION("""COMPUTED_VALUE"""),100)</f>
        <v>100</v>
      </c>
      <c r="H452" s="18">
        <f ca="1">IFERROR(__xludf.DUMMYFUNCTION("""COMPUTED_VALUE"""),0)</f>
        <v>0</v>
      </c>
      <c r="I452" s="19">
        <f ca="1">IFERROR(__xludf.DUMMYFUNCTION("""COMPUTED_VALUE"""),60)</f>
        <v>60</v>
      </c>
      <c r="J452" s="19">
        <f ca="1">IFERROR(__xludf.DUMMYFUNCTION("""COMPUTED_VALUE"""),0)</f>
        <v>0</v>
      </c>
      <c r="K452" s="20">
        <f ca="1">IFERROR(__xludf.DUMMYFUNCTION("""COMPUTED_VALUE"""),125)</f>
        <v>125</v>
      </c>
      <c r="L452" s="20">
        <f ca="1">IFERROR(__xludf.DUMMYFUNCTION("""COMPUTED_VALUE"""),0)</f>
        <v>0</v>
      </c>
      <c r="M452" s="21">
        <f ca="1">IFERROR(__xludf.DUMMYFUNCTION("""COMPUTED_VALUE"""),70)</f>
        <v>70</v>
      </c>
      <c r="N452" s="21">
        <f ca="1">IFERROR(__xludf.DUMMYFUNCTION("""COMPUTED_VALUE"""),10)</f>
        <v>10</v>
      </c>
      <c r="O452" s="22">
        <f ca="1">IFERROR(__xludf.DUMMYFUNCTION("""COMPUTED_VALUE"""),110)</f>
        <v>110</v>
      </c>
      <c r="P452" s="22">
        <f ca="1">IFERROR(__xludf.DUMMYFUNCTION("""COMPUTED_VALUE"""),0)</f>
        <v>0</v>
      </c>
      <c r="Q452" s="23">
        <f ca="1">IFERROR(__xludf.DUMMYFUNCTION("""COMPUTED_VALUE"""),520)</f>
        <v>520</v>
      </c>
      <c r="R452" s="23">
        <f ca="1">IFERROR(__xludf.DUMMYFUNCTION("""COMPUTED_VALUE"""),10)</f>
        <v>10</v>
      </c>
      <c r="S452" s="24" t="str">
        <f ca="1">IFERROR(__xludf.DUMMYFUNCTION("""COMPUTED_VALUE"""),"Illusion")</f>
        <v>Illusion</v>
      </c>
      <c r="T452" s="25"/>
      <c r="U452" s="24" t="str">
        <f ca="1">IFERROR(__xludf.DUMMYFUNCTION("""COMPUTED_VALUE"""),"Fluffy")</f>
        <v>Fluffy</v>
      </c>
      <c r="V452" s="25" t="str">
        <f ca="1">IFERROR(__xludf.DUMMYFUNCTION("""COMPUTED_VALUE"""),"Lv. 30")</f>
        <v>Lv. 30</v>
      </c>
      <c r="W452" s="25"/>
      <c r="X452" s="25"/>
      <c r="Y452" s="25" t="str">
        <f ca="1">IFERROR(__xludf.DUMMYFUNCTION("""COMPUTED_VALUE"""),"Hisuian Zorua (evolve)")</f>
        <v>Hisuian Zorua (evolve)</v>
      </c>
    </row>
    <row r="453" spans="1:25" x14ac:dyDescent="0.25">
      <c r="A453" s="25" t="str">
        <f ca="1">IFERROR(__xludf.DUMMYFUNCTION("""COMPUTED_VALUE"""),"Hisuian Sneasel")</f>
        <v>Hisuian Sneasel</v>
      </c>
      <c r="B453" s="27">
        <f ca="1">IFERROR(__xludf.DUMMYFUNCTION("""COMPUTED_VALUE"""),200)</f>
        <v>200</v>
      </c>
      <c r="C453" s="26" t="str">
        <f ca="1">IFERROR(__xludf.DUMMYFUNCTION("""COMPUTED_VALUE"""),"Poison")</f>
        <v>Poison</v>
      </c>
      <c r="D453" s="3" t="str">
        <f ca="1">IFERROR(__xludf.DUMMYFUNCTION("""COMPUTED_VALUE"""),"Fighting")</f>
        <v>Fighting</v>
      </c>
      <c r="E453" s="17">
        <f ca="1">IFERROR(__xludf.DUMMYFUNCTION("""COMPUTED_VALUE"""),55)</f>
        <v>55</v>
      </c>
      <c r="F453" s="17">
        <f ca="1">IFERROR(__xludf.DUMMYFUNCTION("""COMPUTED_VALUE"""),0)</f>
        <v>0</v>
      </c>
      <c r="G453" s="18">
        <f ca="1">IFERROR(__xludf.DUMMYFUNCTION("""COMPUTED_VALUE"""),95)</f>
        <v>95</v>
      </c>
      <c r="H453" s="18">
        <f ca="1">IFERROR(__xludf.DUMMYFUNCTION("""COMPUTED_VALUE"""),0)</f>
        <v>0</v>
      </c>
      <c r="I453" s="19">
        <f ca="1">IFERROR(__xludf.DUMMYFUNCTION("""COMPUTED_VALUE"""),55)</f>
        <v>55</v>
      </c>
      <c r="J453" s="19">
        <f ca="1">IFERROR(__xludf.DUMMYFUNCTION("""COMPUTED_VALUE"""),0)</f>
        <v>0</v>
      </c>
      <c r="K453" s="20">
        <f ca="1">IFERROR(__xludf.DUMMYFUNCTION("""COMPUTED_VALUE"""),35)</f>
        <v>35</v>
      </c>
      <c r="L453" s="20">
        <f ca="1">IFERROR(__xludf.DUMMYFUNCTION("""COMPUTED_VALUE"""),0)</f>
        <v>0</v>
      </c>
      <c r="M453" s="21">
        <f ca="1">IFERROR(__xludf.DUMMYFUNCTION("""COMPUTED_VALUE"""),75)</f>
        <v>75</v>
      </c>
      <c r="N453" s="21">
        <f ca="1">IFERROR(__xludf.DUMMYFUNCTION("""COMPUTED_VALUE"""),0)</f>
        <v>0</v>
      </c>
      <c r="O453" s="22">
        <f ca="1">IFERROR(__xludf.DUMMYFUNCTION("""COMPUTED_VALUE"""),115)</f>
        <v>115</v>
      </c>
      <c r="P453" s="22">
        <f ca="1">IFERROR(__xludf.DUMMYFUNCTION("""COMPUTED_VALUE"""),0)</f>
        <v>0</v>
      </c>
      <c r="Q453" s="23">
        <f ca="1">IFERROR(__xludf.DUMMYFUNCTION("""COMPUTED_VALUE"""),430)</f>
        <v>430</v>
      </c>
      <c r="R453" s="23">
        <f ca="1">IFERROR(__xludf.DUMMYFUNCTION("""COMPUTED_VALUE"""),0)</f>
        <v>0</v>
      </c>
      <c r="S453" s="24" t="str">
        <f ca="1">IFERROR(__xludf.DUMMYFUNCTION("""COMPUTED_VALUE"""),"Inner Focus")</f>
        <v>Inner Focus</v>
      </c>
      <c r="T453" s="24" t="str">
        <f ca="1">IFERROR(__xludf.DUMMYFUNCTION("""COMPUTED_VALUE"""),"Keen Eye")</f>
        <v>Keen Eye</v>
      </c>
      <c r="U453" s="24" t="str">
        <f ca="1">IFERROR(__xludf.DUMMYFUNCTION("""COMPUTED_VALUE"""),"Pickpocket")</f>
        <v>Pickpocket</v>
      </c>
      <c r="V453" s="25"/>
      <c r="W453" s="25"/>
      <c r="X453" s="25" t="str">
        <f ca="1">IFERROR(__xludf.DUMMYFUNCTION("""COMPUTED_VALUE"""),"Quick Claw")</f>
        <v>Quick Claw</v>
      </c>
      <c r="Y453" s="25" t="str">
        <f ca="1">IFERROR(__xludf.DUMMYFUNCTION("""COMPUTED_VALUE"""),"Froslass Cavern (wild)")</f>
        <v>Froslass Cavern (wild)</v>
      </c>
    </row>
    <row r="454" spans="1:25" x14ac:dyDescent="0.25">
      <c r="A454" s="25" t="str">
        <f ca="1">IFERROR(__xludf.DUMMYFUNCTION("""COMPUTED_VALUE"""),"Alolan Meowth")</f>
        <v>Alolan Meowth</v>
      </c>
      <c r="B454" s="27">
        <f ca="1">IFERROR(__xludf.DUMMYFUNCTION("""COMPUTED_VALUE"""),207)</f>
        <v>207</v>
      </c>
      <c r="C454" s="26" t="str">
        <f ca="1">IFERROR(__xludf.DUMMYFUNCTION("""COMPUTED_VALUE"""),"Dark")</f>
        <v>Dark</v>
      </c>
      <c r="D454" s="3"/>
      <c r="E454" s="17">
        <f ca="1">IFERROR(__xludf.DUMMYFUNCTION("""COMPUTED_VALUE"""),40)</f>
        <v>40</v>
      </c>
      <c r="F454" s="17">
        <f ca="1">IFERROR(__xludf.DUMMYFUNCTION("""COMPUTED_VALUE"""),0)</f>
        <v>0</v>
      </c>
      <c r="G454" s="18">
        <f ca="1">IFERROR(__xludf.DUMMYFUNCTION("""COMPUTED_VALUE"""),45)</f>
        <v>45</v>
      </c>
      <c r="H454" s="18">
        <f ca="1">IFERROR(__xludf.DUMMYFUNCTION("""COMPUTED_VALUE"""),10)</f>
        <v>10</v>
      </c>
      <c r="I454" s="19">
        <f ca="1">IFERROR(__xludf.DUMMYFUNCTION("""COMPUTED_VALUE"""),35)</f>
        <v>35</v>
      </c>
      <c r="J454" s="19">
        <f ca="1">IFERROR(__xludf.DUMMYFUNCTION("""COMPUTED_VALUE"""),0)</f>
        <v>0</v>
      </c>
      <c r="K454" s="20">
        <f ca="1">IFERROR(__xludf.DUMMYFUNCTION("""COMPUTED_VALUE"""),50)</f>
        <v>50</v>
      </c>
      <c r="L454" s="20">
        <f ca="1">IFERROR(__xludf.DUMMYFUNCTION("""COMPUTED_VALUE"""),0)</f>
        <v>0</v>
      </c>
      <c r="M454" s="21">
        <f ca="1">IFERROR(__xludf.DUMMYFUNCTION("""COMPUTED_VALUE"""),40)</f>
        <v>40</v>
      </c>
      <c r="N454" s="21">
        <f ca="1">IFERROR(__xludf.DUMMYFUNCTION("""COMPUTED_VALUE"""),0)</f>
        <v>0</v>
      </c>
      <c r="O454" s="22">
        <f ca="1">IFERROR(__xludf.DUMMYFUNCTION("""COMPUTED_VALUE"""),90)</f>
        <v>90</v>
      </c>
      <c r="P454" s="22">
        <f ca="1">IFERROR(__xludf.DUMMYFUNCTION("""COMPUTED_VALUE"""),0)</f>
        <v>0</v>
      </c>
      <c r="Q454" s="23">
        <f ca="1">IFERROR(__xludf.DUMMYFUNCTION("""COMPUTED_VALUE"""),300)</f>
        <v>300</v>
      </c>
      <c r="R454" s="23">
        <f ca="1">IFERROR(__xludf.DUMMYFUNCTION("""COMPUTED_VALUE"""),10)</f>
        <v>10</v>
      </c>
      <c r="S454" s="24" t="str">
        <f ca="1">IFERROR(__xludf.DUMMYFUNCTION("""COMPUTED_VALUE"""),"Pickup")</f>
        <v>Pickup</v>
      </c>
      <c r="T454" s="24" t="str">
        <f ca="1">IFERROR(__xludf.DUMMYFUNCTION("""COMPUTED_VALUE"""),"Technician")</f>
        <v>Technician</v>
      </c>
      <c r="U454" s="24" t="str">
        <f ca="1">IFERROR(__xludf.DUMMYFUNCTION("""COMPUTED_VALUE"""),"Rattled")</f>
        <v>Rattled</v>
      </c>
      <c r="V454" s="25"/>
      <c r="W454" s="25"/>
      <c r="X454" s="25" t="str">
        <f ca="1">IFERROR(__xludf.DUMMYFUNCTION("""COMPUTED_VALUE"""),"Quick Claw")</f>
        <v>Quick Claw</v>
      </c>
      <c r="Y454" s="25" t="str">
        <f ca="1">IFERROR(__xludf.DUMMYFUNCTION("""COMPUTED_VALUE"""),"Kalami City, Pythios Town (wild)")</f>
        <v>Kalami City, Pythios Town (wild)</v>
      </c>
    </row>
    <row r="455" spans="1:25" x14ac:dyDescent="0.25">
      <c r="A455" s="25" t="str">
        <f ca="1">IFERROR(__xludf.DUMMYFUNCTION("""COMPUTED_VALUE"""),"Galarian Meowth")</f>
        <v>Galarian Meowth</v>
      </c>
      <c r="B455" s="27">
        <f ca="1">IFERROR(__xludf.DUMMYFUNCTION("""COMPUTED_VALUE"""),207)</f>
        <v>207</v>
      </c>
      <c r="C455" s="26" t="str">
        <f ca="1">IFERROR(__xludf.DUMMYFUNCTION("""COMPUTED_VALUE"""),"Steel")</f>
        <v>Steel</v>
      </c>
      <c r="D455" s="3"/>
      <c r="E455" s="17">
        <f ca="1">IFERROR(__xludf.DUMMYFUNCTION("""COMPUTED_VALUE"""),50)</f>
        <v>50</v>
      </c>
      <c r="F455" s="17">
        <f ca="1">IFERROR(__xludf.DUMMYFUNCTION("""COMPUTED_VALUE"""),0)</f>
        <v>0</v>
      </c>
      <c r="G455" s="18">
        <f ca="1">IFERROR(__xludf.DUMMYFUNCTION("""COMPUTED_VALUE"""),70)</f>
        <v>70</v>
      </c>
      <c r="H455" s="18">
        <f ca="1">IFERROR(__xludf.DUMMYFUNCTION("""COMPUTED_VALUE"""),5)</f>
        <v>5</v>
      </c>
      <c r="I455" s="19">
        <f ca="1">IFERROR(__xludf.DUMMYFUNCTION("""COMPUTED_VALUE"""),60)</f>
        <v>60</v>
      </c>
      <c r="J455" s="19">
        <f ca="1">IFERROR(__xludf.DUMMYFUNCTION("""COMPUTED_VALUE"""),5)</f>
        <v>5</v>
      </c>
      <c r="K455" s="20">
        <f ca="1">IFERROR(__xludf.DUMMYFUNCTION("""COMPUTED_VALUE"""),40)</f>
        <v>40</v>
      </c>
      <c r="L455" s="20">
        <f ca="1">IFERROR(__xludf.DUMMYFUNCTION("""COMPUTED_VALUE"""),0)</f>
        <v>0</v>
      </c>
      <c r="M455" s="21">
        <f ca="1">IFERROR(__xludf.DUMMYFUNCTION("""COMPUTED_VALUE"""),40)</f>
        <v>40</v>
      </c>
      <c r="N455" s="21">
        <f ca="1">IFERROR(__xludf.DUMMYFUNCTION("""COMPUTED_VALUE"""),0)</f>
        <v>0</v>
      </c>
      <c r="O455" s="22">
        <f ca="1">IFERROR(__xludf.DUMMYFUNCTION("""COMPUTED_VALUE"""),40)</f>
        <v>40</v>
      </c>
      <c r="P455" s="22">
        <f ca="1">IFERROR(__xludf.DUMMYFUNCTION("""COMPUTED_VALUE"""),0)</f>
        <v>0</v>
      </c>
      <c r="Q455" s="23">
        <f ca="1">IFERROR(__xludf.DUMMYFUNCTION("""COMPUTED_VALUE"""),300)</f>
        <v>300</v>
      </c>
      <c r="R455" s="23">
        <f ca="1">IFERROR(__xludf.DUMMYFUNCTION("""COMPUTED_VALUE"""),10)</f>
        <v>10</v>
      </c>
      <c r="S455" s="24" t="str">
        <f ca="1">IFERROR(__xludf.DUMMYFUNCTION("""COMPUTED_VALUE"""),"Pickup")</f>
        <v>Pickup</v>
      </c>
      <c r="T455" s="24" t="str">
        <f ca="1">IFERROR(__xludf.DUMMYFUNCTION("""COMPUTED_VALUE"""),"Tough Claws")</f>
        <v>Tough Claws</v>
      </c>
      <c r="U455" s="24" t="str">
        <f ca="1">IFERROR(__xludf.DUMMYFUNCTION("""COMPUTED_VALUE"""),"Unnerve")</f>
        <v>Unnerve</v>
      </c>
      <c r="V455" s="25"/>
      <c r="W455" s="25"/>
      <c r="X455" s="25"/>
      <c r="Y455" s="25" t="str">
        <f ca="1">IFERROR(__xludf.DUMMYFUNCTION("""COMPUTED_VALUE"""),"Asfal Hills (wild)")</f>
        <v>Asfal Hills (wild)</v>
      </c>
    </row>
    <row r="456" spans="1:25" x14ac:dyDescent="0.25">
      <c r="A456" s="25" t="str">
        <f ca="1">IFERROR(__xludf.DUMMYFUNCTION("""COMPUTED_VALUE"""),"Alolan Persian")</f>
        <v>Alolan Persian</v>
      </c>
      <c r="B456" s="27">
        <f ca="1">IFERROR(__xludf.DUMMYFUNCTION("""COMPUTED_VALUE"""),208)</f>
        <v>208</v>
      </c>
      <c r="C456" s="26" t="str">
        <f ca="1">IFERROR(__xludf.DUMMYFUNCTION("""COMPUTED_VALUE"""),"Dark")</f>
        <v>Dark</v>
      </c>
      <c r="D456" s="3"/>
      <c r="E456" s="17">
        <f ca="1">IFERROR(__xludf.DUMMYFUNCTION("""COMPUTED_VALUE"""),85)</f>
        <v>85</v>
      </c>
      <c r="F456" s="17">
        <f ca="1">IFERROR(__xludf.DUMMYFUNCTION("""COMPUTED_VALUE"""),20)</f>
        <v>20</v>
      </c>
      <c r="G456" s="18">
        <f ca="1">IFERROR(__xludf.DUMMYFUNCTION("""COMPUTED_VALUE"""),75)</f>
        <v>75</v>
      </c>
      <c r="H456" s="18">
        <f ca="1">IFERROR(__xludf.DUMMYFUNCTION("""COMPUTED_VALUE"""),15)</f>
        <v>15</v>
      </c>
      <c r="I456" s="19">
        <f ca="1">IFERROR(__xludf.DUMMYFUNCTION("""COMPUTED_VALUE"""),60)</f>
        <v>60</v>
      </c>
      <c r="J456" s="19">
        <f ca="1">IFERROR(__xludf.DUMMYFUNCTION("""COMPUTED_VALUE"""),0)</f>
        <v>0</v>
      </c>
      <c r="K456" s="20">
        <f ca="1">IFERROR(__xludf.DUMMYFUNCTION("""COMPUTED_VALUE"""),80)</f>
        <v>80</v>
      </c>
      <c r="L456" s="20">
        <f ca="1">IFERROR(__xludf.DUMMYFUNCTION("""COMPUTED_VALUE"""),5)</f>
        <v>5</v>
      </c>
      <c r="M456" s="21">
        <f ca="1">IFERROR(__xludf.DUMMYFUNCTION("""COMPUTED_VALUE"""),65)</f>
        <v>65</v>
      </c>
      <c r="N456" s="21">
        <f ca="1">IFERROR(__xludf.DUMMYFUNCTION("""COMPUTED_VALUE"""),0)</f>
        <v>0</v>
      </c>
      <c r="O456" s="22">
        <f ca="1">IFERROR(__xludf.DUMMYFUNCTION("""COMPUTED_VALUE"""),115)</f>
        <v>115</v>
      </c>
      <c r="P456" s="22">
        <f ca="1">IFERROR(__xludf.DUMMYFUNCTION("""COMPUTED_VALUE"""),0)</f>
        <v>0</v>
      </c>
      <c r="Q456" s="23">
        <f ca="1">IFERROR(__xludf.DUMMYFUNCTION("""COMPUTED_VALUE"""),480)</f>
        <v>480</v>
      </c>
      <c r="R456" s="23">
        <f ca="1">IFERROR(__xludf.DUMMYFUNCTION("""COMPUTED_VALUE"""),40)</f>
        <v>40</v>
      </c>
      <c r="S456" s="24" t="str">
        <f ca="1">IFERROR(__xludf.DUMMYFUNCTION("""COMPUTED_VALUE"""),"Fur Coat")</f>
        <v>Fur Coat</v>
      </c>
      <c r="T456" s="24" t="str">
        <f ca="1">IFERROR(__xludf.DUMMYFUNCTION("""COMPUTED_VALUE"""),"Technician")</f>
        <v>Technician</v>
      </c>
      <c r="U456" s="24" t="str">
        <f ca="1">IFERROR(__xludf.DUMMYFUNCTION("""COMPUTED_VALUE"""),"Rattled")</f>
        <v>Rattled</v>
      </c>
      <c r="V456" s="25" t="str">
        <f ca="1">IFERROR(__xludf.DUMMYFUNCTION("""COMPUTED_VALUE"""),"Lv. 27")</f>
        <v>Lv. 27</v>
      </c>
      <c r="W456" s="25"/>
      <c r="X456" s="25" t="str">
        <f ca="1">IFERROR(__xludf.DUMMYFUNCTION("""COMPUTED_VALUE"""),"Quick Claw")</f>
        <v>Quick Claw</v>
      </c>
      <c r="Y456" s="25" t="str">
        <f ca="1">IFERROR(__xludf.DUMMYFUNCTION("""COMPUTED_VALUE"""),"The Nyx Trails (wild)")</f>
        <v>The Nyx Trails (wild)</v>
      </c>
    </row>
    <row r="457" spans="1:25" x14ac:dyDescent="0.25">
      <c r="A457" s="25" t="str">
        <f ca="1">IFERROR(__xludf.DUMMYFUNCTION("""COMPUTED_VALUE"""),"Hisuian Typhlosion")</f>
        <v>Hisuian Typhlosion</v>
      </c>
      <c r="B457" s="27">
        <f ca="1">IFERROR(__xludf.DUMMYFUNCTION("""COMPUTED_VALUE"""),216)</f>
        <v>216</v>
      </c>
      <c r="C457" s="26" t="str">
        <f ca="1">IFERROR(__xludf.DUMMYFUNCTION("""COMPUTED_VALUE"""),"Fire")</f>
        <v>Fire</v>
      </c>
      <c r="D457" s="3" t="str">
        <f ca="1">IFERROR(__xludf.DUMMYFUNCTION("""COMPUTED_VALUE"""),"Ghost")</f>
        <v>Ghost</v>
      </c>
      <c r="E457" s="17">
        <f ca="1">IFERROR(__xludf.DUMMYFUNCTION("""COMPUTED_VALUE"""),83)</f>
        <v>83</v>
      </c>
      <c r="F457" s="17">
        <f ca="1">IFERROR(__xludf.DUMMYFUNCTION("""COMPUTED_VALUE"""),10)</f>
        <v>10</v>
      </c>
      <c r="G457" s="18">
        <f ca="1">IFERROR(__xludf.DUMMYFUNCTION("""COMPUTED_VALUE"""),84)</f>
        <v>84</v>
      </c>
      <c r="H457" s="18">
        <f ca="1">IFERROR(__xludf.DUMMYFUNCTION("""COMPUTED_VALUE"""),0)</f>
        <v>0</v>
      </c>
      <c r="I457" s="19">
        <f ca="1">IFERROR(__xludf.DUMMYFUNCTION("""COMPUTED_VALUE"""),83)</f>
        <v>83</v>
      </c>
      <c r="J457" s="19">
        <f ca="1">IFERROR(__xludf.DUMMYFUNCTION("""COMPUTED_VALUE"""),5)</f>
        <v>5</v>
      </c>
      <c r="K457" s="20">
        <f ca="1">IFERROR(__xludf.DUMMYFUNCTION("""COMPUTED_VALUE"""),129)</f>
        <v>129</v>
      </c>
      <c r="L457" s="20">
        <f ca="1">IFERROR(__xludf.DUMMYFUNCTION("""COMPUTED_VALUE"""),10)</f>
        <v>10</v>
      </c>
      <c r="M457" s="21">
        <f ca="1">IFERROR(__xludf.DUMMYFUNCTION("""COMPUTED_VALUE"""),85)</f>
        <v>85</v>
      </c>
      <c r="N457" s="21">
        <f ca="1">IFERROR(__xludf.DUMMYFUNCTION("""COMPUTED_VALUE"""),0)</f>
        <v>0</v>
      </c>
      <c r="O457" s="22">
        <f ca="1">IFERROR(__xludf.DUMMYFUNCTION("""COMPUTED_VALUE"""),95)</f>
        <v>95</v>
      </c>
      <c r="P457" s="22">
        <f ca="1">IFERROR(__xludf.DUMMYFUNCTION("""COMPUTED_VALUE"""),0)</f>
        <v>0</v>
      </c>
      <c r="Q457" s="23">
        <f ca="1">IFERROR(__xludf.DUMMYFUNCTION("""COMPUTED_VALUE"""),559)</f>
        <v>559</v>
      </c>
      <c r="R457" s="23">
        <f ca="1">IFERROR(__xludf.DUMMYFUNCTION("""COMPUTED_VALUE"""),25)</f>
        <v>25</v>
      </c>
      <c r="S457" s="24" t="str">
        <f ca="1">IFERROR(__xludf.DUMMYFUNCTION("""COMPUTED_VALUE"""),"Blaze")</f>
        <v>Blaze</v>
      </c>
      <c r="T457" s="24" t="str">
        <f ca="1">IFERROR(__xludf.DUMMYFUNCTION("""COMPUTED_VALUE"""),"Frisk")</f>
        <v>Frisk</v>
      </c>
      <c r="U457" s="24" t="str">
        <f ca="1">IFERROR(__xludf.DUMMYFUNCTION("""COMPUTED_VALUE"""),"Comatose")</f>
        <v>Comatose</v>
      </c>
      <c r="V457" s="25" t="str">
        <f ca="1">IFERROR(__xludf.DUMMYFUNCTION("""COMPUTED_VALUE"""),"Dusk Stone")</f>
        <v>Dusk Stone</v>
      </c>
      <c r="W457" s="25"/>
      <c r="X457" s="25"/>
      <c r="Y457" s="25" t="str">
        <f ca="1">IFERROR(__xludf.DUMMYFUNCTION("""COMPUTED_VALUE"""),"Quilava (evolve)")</f>
        <v>Quilava (evolve)</v>
      </c>
    </row>
    <row r="458" spans="1:25" x14ac:dyDescent="0.25">
      <c r="A458" s="25" t="str">
        <f ca="1">IFERROR(__xludf.DUMMYFUNCTION("""COMPUTED_VALUE"""),"Paldean Tauros-C")</f>
        <v>Paldean Tauros-C</v>
      </c>
      <c r="B458" s="27">
        <f ca="1">IFERROR(__xludf.DUMMYFUNCTION("""COMPUTED_VALUE"""),224)</f>
        <v>224</v>
      </c>
      <c r="C458" s="26" t="str">
        <f ca="1">IFERROR(__xludf.DUMMYFUNCTION("""COMPUTED_VALUE"""),"Fighting")</f>
        <v>Fighting</v>
      </c>
      <c r="D458" s="3"/>
      <c r="E458" s="17">
        <f ca="1">IFERROR(__xludf.DUMMYFUNCTION("""COMPUTED_VALUE"""),85)</f>
        <v>85</v>
      </c>
      <c r="F458" s="17">
        <f ca="1">IFERROR(__xludf.DUMMYFUNCTION("""COMPUTED_VALUE"""),10)</f>
        <v>10</v>
      </c>
      <c r="G458" s="18">
        <f ca="1">IFERROR(__xludf.DUMMYFUNCTION("""COMPUTED_VALUE"""),110)</f>
        <v>110</v>
      </c>
      <c r="H458" s="18">
        <f ca="1">IFERROR(__xludf.DUMMYFUNCTION("""COMPUTED_VALUE"""),0)</f>
        <v>0</v>
      </c>
      <c r="I458" s="19">
        <f ca="1">IFERROR(__xludf.DUMMYFUNCTION("""COMPUTED_VALUE"""),105)</f>
        <v>105</v>
      </c>
      <c r="J458" s="19">
        <f ca="1">IFERROR(__xludf.DUMMYFUNCTION("""COMPUTED_VALUE"""),0)</f>
        <v>0</v>
      </c>
      <c r="K458" s="20">
        <f ca="1">IFERROR(__xludf.DUMMYFUNCTION("""COMPUTED_VALUE"""),30)</f>
        <v>30</v>
      </c>
      <c r="L458" s="20">
        <f ca="1">IFERROR(__xludf.DUMMYFUNCTION("""COMPUTED_VALUE"""),0)</f>
        <v>0</v>
      </c>
      <c r="M458" s="21">
        <f ca="1">IFERROR(__xludf.DUMMYFUNCTION("""COMPUTED_VALUE"""),70)</f>
        <v>70</v>
      </c>
      <c r="N458" s="21">
        <f ca="1">IFERROR(__xludf.DUMMYFUNCTION("""COMPUTED_VALUE"""),0)</f>
        <v>0</v>
      </c>
      <c r="O458" s="22">
        <f ca="1">IFERROR(__xludf.DUMMYFUNCTION("""COMPUTED_VALUE"""),100)</f>
        <v>100</v>
      </c>
      <c r="P458" s="22">
        <f ca="1">IFERROR(__xludf.DUMMYFUNCTION("""COMPUTED_VALUE"""),0)</f>
        <v>0</v>
      </c>
      <c r="Q458" s="23">
        <f ca="1">IFERROR(__xludf.DUMMYFUNCTION("""COMPUTED_VALUE"""),500)</f>
        <v>500</v>
      </c>
      <c r="R458" s="23">
        <f ca="1">IFERROR(__xludf.DUMMYFUNCTION("""COMPUTED_VALUE"""),10)</f>
        <v>10</v>
      </c>
      <c r="S458" s="24" t="str">
        <f ca="1">IFERROR(__xludf.DUMMYFUNCTION("""COMPUTED_VALUE"""),"Intimidate")</f>
        <v>Intimidate</v>
      </c>
      <c r="T458" s="24" t="str">
        <f ca="1">IFERROR(__xludf.DUMMYFUNCTION("""COMPUTED_VALUE"""),"Anger Point")</f>
        <v>Anger Point</v>
      </c>
      <c r="U458" s="24" t="str">
        <f ca="1">IFERROR(__xludf.DUMMYFUNCTION("""COMPUTED_VALUE"""),"Cud Chew")</f>
        <v>Cud Chew</v>
      </c>
      <c r="V458" s="25"/>
      <c r="W458" s="25"/>
      <c r="X458" s="25"/>
      <c r="Y458" s="25"/>
    </row>
    <row r="459" spans="1:25" x14ac:dyDescent="0.25">
      <c r="A459" s="25" t="str">
        <f ca="1">IFERROR(__xludf.DUMMYFUNCTION("""COMPUTED_VALUE"""),"Paldean Tauros-B")</f>
        <v>Paldean Tauros-B</v>
      </c>
      <c r="B459" s="27">
        <f ca="1">IFERROR(__xludf.DUMMYFUNCTION("""COMPUTED_VALUE"""),224)</f>
        <v>224</v>
      </c>
      <c r="C459" s="26" t="str">
        <f ca="1">IFERROR(__xludf.DUMMYFUNCTION("""COMPUTED_VALUE"""),"Fighting")</f>
        <v>Fighting</v>
      </c>
      <c r="D459" s="3" t="str">
        <f ca="1">IFERROR(__xludf.DUMMYFUNCTION("""COMPUTED_VALUE"""),"Fire")</f>
        <v>Fire</v>
      </c>
      <c r="E459" s="17">
        <f ca="1">IFERROR(__xludf.DUMMYFUNCTION("""COMPUTED_VALUE"""),85)</f>
        <v>85</v>
      </c>
      <c r="F459" s="17">
        <f ca="1">IFERROR(__xludf.DUMMYFUNCTION("""COMPUTED_VALUE"""),10)</f>
        <v>10</v>
      </c>
      <c r="G459" s="18">
        <f ca="1">IFERROR(__xludf.DUMMYFUNCTION("""COMPUTED_VALUE"""),110)</f>
        <v>110</v>
      </c>
      <c r="H459" s="18">
        <f ca="1">IFERROR(__xludf.DUMMYFUNCTION("""COMPUTED_VALUE"""),0)</f>
        <v>0</v>
      </c>
      <c r="I459" s="19">
        <f ca="1">IFERROR(__xludf.DUMMYFUNCTION("""COMPUTED_VALUE"""),105)</f>
        <v>105</v>
      </c>
      <c r="J459" s="19">
        <f ca="1">IFERROR(__xludf.DUMMYFUNCTION("""COMPUTED_VALUE"""),0)</f>
        <v>0</v>
      </c>
      <c r="K459" s="20">
        <f ca="1">IFERROR(__xludf.DUMMYFUNCTION("""COMPUTED_VALUE"""),30)</f>
        <v>30</v>
      </c>
      <c r="L459" s="20">
        <f ca="1">IFERROR(__xludf.DUMMYFUNCTION("""COMPUTED_VALUE"""),0)</f>
        <v>0</v>
      </c>
      <c r="M459" s="21">
        <f ca="1">IFERROR(__xludf.DUMMYFUNCTION("""COMPUTED_VALUE"""),70)</f>
        <v>70</v>
      </c>
      <c r="N459" s="21">
        <f ca="1">IFERROR(__xludf.DUMMYFUNCTION("""COMPUTED_VALUE"""),0)</f>
        <v>0</v>
      </c>
      <c r="O459" s="22">
        <f ca="1">IFERROR(__xludf.DUMMYFUNCTION("""COMPUTED_VALUE"""),100)</f>
        <v>100</v>
      </c>
      <c r="P459" s="22">
        <f ca="1">IFERROR(__xludf.DUMMYFUNCTION("""COMPUTED_VALUE"""),0)</f>
        <v>0</v>
      </c>
      <c r="Q459" s="23">
        <f ca="1">IFERROR(__xludf.DUMMYFUNCTION("""COMPUTED_VALUE"""),500)</f>
        <v>500</v>
      </c>
      <c r="R459" s="23">
        <f ca="1">IFERROR(__xludf.DUMMYFUNCTION("""COMPUTED_VALUE"""),10)</f>
        <v>10</v>
      </c>
      <c r="S459" s="24" t="str">
        <f ca="1">IFERROR(__xludf.DUMMYFUNCTION("""COMPUTED_VALUE"""),"Intimidate")</f>
        <v>Intimidate</v>
      </c>
      <c r="T459" s="24" t="str">
        <f ca="1">IFERROR(__xludf.DUMMYFUNCTION("""COMPUTED_VALUE"""),"Anger Point")</f>
        <v>Anger Point</v>
      </c>
      <c r="U459" s="24" t="str">
        <f ca="1">IFERROR(__xludf.DUMMYFUNCTION("""COMPUTED_VALUE"""),"Cud Chew")</f>
        <v>Cud Chew</v>
      </c>
      <c r="V459" s="25"/>
      <c r="W459" s="25"/>
      <c r="X459" s="25"/>
      <c r="Y459" s="25"/>
    </row>
    <row r="460" spans="1:25" x14ac:dyDescent="0.25">
      <c r="A460" s="25" t="str">
        <f ca="1">IFERROR(__xludf.DUMMYFUNCTION("""COMPUTED_VALUE"""),"Paldean Tauros-A")</f>
        <v>Paldean Tauros-A</v>
      </c>
      <c r="B460" s="27">
        <f ca="1">IFERROR(__xludf.DUMMYFUNCTION("""COMPUTED_VALUE"""),224)</f>
        <v>224</v>
      </c>
      <c r="C460" s="26" t="str">
        <f ca="1">IFERROR(__xludf.DUMMYFUNCTION("""COMPUTED_VALUE"""),"Fighting")</f>
        <v>Fighting</v>
      </c>
      <c r="D460" s="3" t="str">
        <f ca="1">IFERROR(__xludf.DUMMYFUNCTION("""COMPUTED_VALUE"""),"Water")</f>
        <v>Water</v>
      </c>
      <c r="E460" s="17">
        <f ca="1">IFERROR(__xludf.DUMMYFUNCTION("""COMPUTED_VALUE"""),85)</f>
        <v>85</v>
      </c>
      <c r="F460" s="17">
        <f ca="1">IFERROR(__xludf.DUMMYFUNCTION("""COMPUTED_VALUE"""),10)</f>
        <v>10</v>
      </c>
      <c r="G460" s="18">
        <f ca="1">IFERROR(__xludf.DUMMYFUNCTION("""COMPUTED_VALUE"""),110)</f>
        <v>110</v>
      </c>
      <c r="H460" s="18">
        <f ca="1">IFERROR(__xludf.DUMMYFUNCTION("""COMPUTED_VALUE"""),0)</f>
        <v>0</v>
      </c>
      <c r="I460" s="19">
        <f ca="1">IFERROR(__xludf.DUMMYFUNCTION("""COMPUTED_VALUE"""),105)</f>
        <v>105</v>
      </c>
      <c r="J460" s="19">
        <f ca="1">IFERROR(__xludf.DUMMYFUNCTION("""COMPUTED_VALUE"""),0)</f>
        <v>0</v>
      </c>
      <c r="K460" s="20">
        <f ca="1">IFERROR(__xludf.DUMMYFUNCTION("""COMPUTED_VALUE"""),30)</f>
        <v>30</v>
      </c>
      <c r="L460" s="20">
        <f ca="1">IFERROR(__xludf.DUMMYFUNCTION("""COMPUTED_VALUE"""),0)</f>
        <v>0</v>
      </c>
      <c r="M460" s="21">
        <f ca="1">IFERROR(__xludf.DUMMYFUNCTION("""COMPUTED_VALUE"""),70)</f>
        <v>70</v>
      </c>
      <c r="N460" s="21">
        <f ca="1">IFERROR(__xludf.DUMMYFUNCTION("""COMPUTED_VALUE"""),0)</f>
        <v>0</v>
      </c>
      <c r="O460" s="22">
        <f ca="1">IFERROR(__xludf.DUMMYFUNCTION("""COMPUTED_VALUE"""),100)</f>
        <v>100</v>
      </c>
      <c r="P460" s="22">
        <f ca="1">IFERROR(__xludf.DUMMYFUNCTION("""COMPUTED_VALUE"""),0)</f>
        <v>0</v>
      </c>
      <c r="Q460" s="23">
        <f ca="1">IFERROR(__xludf.DUMMYFUNCTION("""COMPUTED_VALUE"""),500)</f>
        <v>500</v>
      </c>
      <c r="R460" s="23">
        <f ca="1">IFERROR(__xludf.DUMMYFUNCTION("""COMPUTED_VALUE"""),10)</f>
        <v>10</v>
      </c>
      <c r="S460" s="24" t="str">
        <f ca="1">IFERROR(__xludf.DUMMYFUNCTION("""COMPUTED_VALUE"""),"Intimidate")</f>
        <v>Intimidate</v>
      </c>
      <c r="T460" s="24" t="str">
        <f ca="1">IFERROR(__xludf.DUMMYFUNCTION("""COMPUTED_VALUE"""),"Anger Point")</f>
        <v>Anger Point</v>
      </c>
      <c r="U460" s="24" t="str">
        <f ca="1">IFERROR(__xludf.DUMMYFUNCTION("""COMPUTED_VALUE"""),"Cud Chew")</f>
        <v>Cud Chew</v>
      </c>
      <c r="V460" s="25"/>
      <c r="W460" s="25"/>
      <c r="X460" s="25"/>
      <c r="Y460" s="25"/>
    </row>
    <row r="461" spans="1:25" x14ac:dyDescent="0.25">
      <c r="A461" s="25" t="str">
        <f ca="1">IFERROR(__xludf.DUMMYFUNCTION("""COMPUTED_VALUE"""),"Spiky-Eared Pichu")</f>
        <v>Spiky-Eared Pichu</v>
      </c>
      <c r="B461" s="27">
        <f ca="1">IFERROR(__xludf.DUMMYFUNCTION("""COMPUTED_VALUE"""),248)</f>
        <v>248</v>
      </c>
      <c r="C461" s="26" t="str">
        <f ca="1">IFERROR(__xludf.DUMMYFUNCTION("""COMPUTED_VALUE"""),"Electric")</f>
        <v>Electric</v>
      </c>
      <c r="D461" s="3"/>
      <c r="E461" s="17">
        <f ca="1">IFERROR(__xludf.DUMMYFUNCTION("""COMPUTED_VALUE"""),55)</f>
        <v>55</v>
      </c>
      <c r="F461" s="17">
        <f ca="1">IFERROR(__xludf.DUMMYFUNCTION("""COMPUTED_VALUE"""),35)</f>
        <v>35</v>
      </c>
      <c r="G461" s="18">
        <f ca="1">IFERROR(__xludf.DUMMYFUNCTION("""COMPUTED_VALUE"""),55)</f>
        <v>55</v>
      </c>
      <c r="H461" s="18">
        <f ca="1">IFERROR(__xludf.DUMMYFUNCTION("""COMPUTED_VALUE"""),15)</f>
        <v>15</v>
      </c>
      <c r="I461" s="19">
        <f ca="1">IFERROR(__xludf.DUMMYFUNCTION("""COMPUTED_VALUE"""),65)</f>
        <v>65</v>
      </c>
      <c r="J461" s="19">
        <f ca="1">IFERROR(__xludf.DUMMYFUNCTION("""COMPUTED_VALUE"""),50)</f>
        <v>50</v>
      </c>
      <c r="K461" s="20">
        <f ca="1">IFERROR(__xludf.DUMMYFUNCTION("""COMPUTED_VALUE"""),80)</f>
        <v>80</v>
      </c>
      <c r="L461" s="20">
        <f ca="1">IFERROR(__xludf.DUMMYFUNCTION("""COMPUTED_VALUE"""),45)</f>
        <v>45</v>
      </c>
      <c r="M461" s="21">
        <f ca="1">IFERROR(__xludf.DUMMYFUNCTION("""COMPUTED_VALUE"""),60)</f>
        <v>60</v>
      </c>
      <c r="N461" s="21">
        <f ca="1">IFERROR(__xludf.DUMMYFUNCTION("""COMPUTED_VALUE"""),25)</f>
        <v>25</v>
      </c>
      <c r="O461" s="22">
        <f ca="1">IFERROR(__xludf.DUMMYFUNCTION("""COMPUTED_VALUE"""),115)</f>
        <v>115</v>
      </c>
      <c r="P461" s="22">
        <f ca="1">IFERROR(__xludf.DUMMYFUNCTION("""COMPUTED_VALUE"""),55)</f>
        <v>55</v>
      </c>
      <c r="Q461" s="23">
        <f ca="1">IFERROR(__xludf.DUMMYFUNCTION("""COMPUTED_VALUE"""),430)</f>
        <v>430</v>
      </c>
      <c r="R461" s="23">
        <f ca="1">IFERROR(__xludf.DUMMYFUNCTION("""COMPUTED_VALUE"""),225)</f>
        <v>225</v>
      </c>
      <c r="S461" s="24" t="str">
        <f ca="1">IFERROR(__xludf.DUMMYFUNCTION("""COMPUTED_VALUE"""),"Static")</f>
        <v>Static</v>
      </c>
      <c r="T461" s="25"/>
      <c r="U461" s="24" t="str">
        <f ca="1">IFERROR(__xludf.DUMMYFUNCTION("""COMPUTED_VALUE"""),"Lightning Rod")</f>
        <v>Lightning Rod</v>
      </c>
      <c r="V461" s="25" t="str">
        <f ca="1">IFERROR(__xludf.DUMMYFUNCTION("""COMPUTED_VALUE"""),"Can't Evolve")</f>
        <v>Can't Evolve</v>
      </c>
      <c r="W461" s="25"/>
      <c r="X461" s="25"/>
      <c r="Y461" s="25"/>
    </row>
    <row r="462" spans="1:25" x14ac:dyDescent="0.25">
      <c r="A462" s="25" t="str">
        <f ca="1">IFERROR(__xludf.DUMMYFUNCTION("""COMPUTED_VALUE"""),"Alolan Raichu")</f>
        <v>Alolan Raichu</v>
      </c>
      <c r="B462" s="27">
        <f ca="1">IFERROR(__xludf.DUMMYFUNCTION("""COMPUTED_VALUE"""),250)</f>
        <v>250</v>
      </c>
      <c r="C462" s="26" t="str">
        <f ca="1">IFERROR(__xludf.DUMMYFUNCTION("""COMPUTED_VALUE"""),"Electric")</f>
        <v>Electric</v>
      </c>
      <c r="D462" s="3" t="str">
        <f ca="1">IFERROR(__xludf.DUMMYFUNCTION("""COMPUTED_VALUE"""),"Psychic")</f>
        <v>Psychic</v>
      </c>
      <c r="E462" s="17">
        <f ca="1">IFERROR(__xludf.DUMMYFUNCTION("""COMPUTED_VALUE"""),80)</f>
        <v>80</v>
      </c>
      <c r="F462" s="17">
        <f ca="1">IFERROR(__xludf.DUMMYFUNCTION("""COMPUTED_VALUE"""),20)</f>
        <v>20</v>
      </c>
      <c r="G462" s="18">
        <f ca="1">IFERROR(__xludf.DUMMYFUNCTION("""COMPUTED_VALUE"""),75)</f>
        <v>75</v>
      </c>
      <c r="H462" s="18">
        <f ca="1">IFERROR(__xludf.DUMMYFUNCTION("""COMPUTED_VALUE"""),-10)</f>
        <v>-10</v>
      </c>
      <c r="I462" s="19">
        <f ca="1">IFERROR(__xludf.DUMMYFUNCTION("""COMPUTED_VALUE"""),66)</f>
        <v>66</v>
      </c>
      <c r="J462" s="19">
        <f ca="1">IFERROR(__xludf.DUMMYFUNCTION("""COMPUTED_VALUE"""),16)</f>
        <v>16</v>
      </c>
      <c r="K462" s="20">
        <f ca="1">IFERROR(__xludf.DUMMYFUNCTION("""COMPUTED_VALUE"""),100)</f>
        <v>100</v>
      </c>
      <c r="L462" s="20">
        <f ca="1">IFERROR(__xludf.DUMMYFUNCTION("""COMPUTED_VALUE"""),5)</f>
        <v>5</v>
      </c>
      <c r="M462" s="21">
        <f ca="1">IFERROR(__xludf.DUMMYFUNCTION("""COMPUTED_VALUE"""),85)</f>
        <v>85</v>
      </c>
      <c r="N462" s="21">
        <f ca="1">IFERROR(__xludf.DUMMYFUNCTION("""COMPUTED_VALUE"""),0)</f>
        <v>0</v>
      </c>
      <c r="O462" s="22">
        <f ca="1">IFERROR(__xludf.DUMMYFUNCTION("""COMPUTED_VALUE"""),104)</f>
        <v>104</v>
      </c>
      <c r="P462" s="22">
        <f ca="1">IFERROR(__xludf.DUMMYFUNCTION("""COMPUTED_VALUE"""),-6)</f>
        <v>-6</v>
      </c>
      <c r="Q462" s="23">
        <f ca="1">IFERROR(__xludf.DUMMYFUNCTION("""COMPUTED_VALUE"""),510)</f>
        <v>510</v>
      </c>
      <c r="R462" s="23">
        <f ca="1">IFERROR(__xludf.DUMMYFUNCTION("""COMPUTED_VALUE"""),25)</f>
        <v>25</v>
      </c>
      <c r="S462" s="25" t="str">
        <f ca="1">IFERROR(__xludf.DUMMYFUNCTION("""COMPUTED_VALUE"""),"Surge Surfer")</f>
        <v>Surge Surfer</v>
      </c>
      <c r="T462" s="25"/>
      <c r="U462" s="24" t="str">
        <f ca="1">IFERROR(__xludf.DUMMYFUNCTION("""COMPUTED_VALUE"""),"Levitate")</f>
        <v>Levitate</v>
      </c>
      <c r="V462" s="25" t="str">
        <f ca="1">IFERROR(__xludf.DUMMYFUNCTION("""COMPUTED_VALUE"""),"Shiny Stone")</f>
        <v>Shiny Stone</v>
      </c>
      <c r="W462" s="25"/>
      <c r="X462" s="25"/>
      <c r="Y462" s="25"/>
    </row>
    <row r="463" spans="1:25" x14ac:dyDescent="0.25">
      <c r="A463" s="25" t="str">
        <f ca="1">IFERROR(__xludf.DUMMYFUNCTION("""COMPUTED_VALUE"""),"Galarian Ponyta")</f>
        <v>Galarian Ponyta</v>
      </c>
      <c r="B463" s="27">
        <f ca="1">IFERROR(__xludf.DUMMYFUNCTION("""COMPUTED_VALUE"""),252)</f>
        <v>252</v>
      </c>
      <c r="C463" s="26" t="str">
        <f ca="1">IFERROR(__xludf.DUMMYFUNCTION("""COMPUTED_VALUE"""),"Psychic")</f>
        <v>Psychic</v>
      </c>
      <c r="D463" s="3"/>
      <c r="E463" s="17">
        <f ca="1">IFERROR(__xludf.DUMMYFUNCTION("""COMPUTED_VALUE"""),50)</f>
        <v>50</v>
      </c>
      <c r="F463" s="17">
        <f ca="1">IFERROR(__xludf.DUMMYFUNCTION("""COMPUTED_VALUE"""),0)</f>
        <v>0</v>
      </c>
      <c r="G463" s="18">
        <f ca="1">IFERROR(__xludf.DUMMYFUNCTION("""COMPUTED_VALUE"""),85)</f>
        <v>85</v>
      </c>
      <c r="H463" s="18">
        <f ca="1">IFERROR(__xludf.DUMMYFUNCTION("""COMPUTED_VALUE"""),0)</f>
        <v>0</v>
      </c>
      <c r="I463" s="19">
        <f ca="1">IFERROR(__xludf.DUMMYFUNCTION("""COMPUTED_VALUE"""),55)</f>
        <v>55</v>
      </c>
      <c r="J463" s="19">
        <f ca="1">IFERROR(__xludf.DUMMYFUNCTION("""COMPUTED_VALUE"""),0)</f>
        <v>0</v>
      </c>
      <c r="K463" s="20">
        <f ca="1">IFERROR(__xludf.DUMMYFUNCTION("""COMPUTED_VALUE"""),65)</f>
        <v>65</v>
      </c>
      <c r="L463" s="20">
        <f ca="1">IFERROR(__xludf.DUMMYFUNCTION("""COMPUTED_VALUE"""),0)</f>
        <v>0</v>
      </c>
      <c r="M463" s="21">
        <f ca="1">IFERROR(__xludf.DUMMYFUNCTION("""COMPUTED_VALUE"""),65)</f>
        <v>65</v>
      </c>
      <c r="N463" s="21">
        <f ca="1">IFERROR(__xludf.DUMMYFUNCTION("""COMPUTED_VALUE"""),0)</f>
        <v>0</v>
      </c>
      <c r="O463" s="22">
        <f ca="1">IFERROR(__xludf.DUMMYFUNCTION("""COMPUTED_VALUE"""),90)</f>
        <v>90</v>
      </c>
      <c r="P463" s="22">
        <f ca="1">IFERROR(__xludf.DUMMYFUNCTION("""COMPUTED_VALUE"""),0)</f>
        <v>0</v>
      </c>
      <c r="Q463" s="23">
        <f ca="1">IFERROR(__xludf.DUMMYFUNCTION("""COMPUTED_VALUE"""),410)</f>
        <v>410</v>
      </c>
      <c r="R463" s="23">
        <f ca="1">IFERROR(__xludf.DUMMYFUNCTION("""COMPUTED_VALUE"""),0)</f>
        <v>0</v>
      </c>
      <c r="S463" s="24" t="str">
        <f ca="1">IFERROR(__xludf.DUMMYFUNCTION("""COMPUTED_VALUE"""),"Run Away")</f>
        <v>Run Away</v>
      </c>
      <c r="T463" s="24" t="str">
        <f ca="1">IFERROR(__xludf.DUMMYFUNCTION("""COMPUTED_VALUE"""),"Pastel Veil")</f>
        <v>Pastel Veil</v>
      </c>
      <c r="U463" s="24" t="str">
        <f ca="1">IFERROR(__xludf.DUMMYFUNCTION("""COMPUTED_VALUE"""),"Anticipation")</f>
        <v>Anticipation</v>
      </c>
      <c r="V463" s="25"/>
      <c r="W463" s="25"/>
      <c r="X463" s="25"/>
      <c r="Y463" s="25" t="str">
        <f ca="1">IFERROR(__xludf.DUMMYFUNCTION("""COMPUTED_VALUE"""),"Riverwalk Trail N, Myrrini Island (wild)")</f>
        <v>Riverwalk Trail N, Myrrini Island (wild)</v>
      </c>
    </row>
    <row r="464" spans="1:25" x14ac:dyDescent="0.25">
      <c r="A464" s="25" t="str">
        <f ca="1">IFERROR(__xludf.DUMMYFUNCTION("""COMPUTED_VALUE"""),"Galarian Rapidash")</f>
        <v>Galarian Rapidash</v>
      </c>
      <c r="B464" s="27">
        <f ca="1">IFERROR(__xludf.DUMMYFUNCTION("""COMPUTED_VALUE"""),253)</f>
        <v>253</v>
      </c>
      <c r="C464" s="26" t="str">
        <f ca="1">IFERROR(__xludf.DUMMYFUNCTION("""COMPUTED_VALUE"""),"Psychic")</f>
        <v>Psychic</v>
      </c>
      <c r="D464" s="3" t="str">
        <f ca="1">IFERROR(__xludf.DUMMYFUNCTION("""COMPUTED_VALUE"""),"Fairy")</f>
        <v>Fairy</v>
      </c>
      <c r="E464" s="17">
        <f ca="1">IFERROR(__xludf.DUMMYFUNCTION("""COMPUTED_VALUE"""),65)</f>
        <v>65</v>
      </c>
      <c r="F464" s="17">
        <f ca="1">IFERROR(__xludf.DUMMYFUNCTION("""COMPUTED_VALUE"""),0)</f>
        <v>0</v>
      </c>
      <c r="G464" s="18">
        <f ca="1">IFERROR(__xludf.DUMMYFUNCTION("""COMPUTED_VALUE"""),100)</f>
        <v>100</v>
      </c>
      <c r="H464" s="18">
        <f ca="1">IFERROR(__xludf.DUMMYFUNCTION("""COMPUTED_VALUE"""),0)</f>
        <v>0</v>
      </c>
      <c r="I464" s="19">
        <f ca="1">IFERROR(__xludf.DUMMYFUNCTION("""COMPUTED_VALUE"""),70)</f>
        <v>70</v>
      </c>
      <c r="J464" s="19">
        <f ca="1">IFERROR(__xludf.DUMMYFUNCTION("""COMPUTED_VALUE"""),0)</f>
        <v>0</v>
      </c>
      <c r="K464" s="20">
        <f ca="1">IFERROR(__xludf.DUMMYFUNCTION("""COMPUTED_VALUE"""),80)</f>
        <v>80</v>
      </c>
      <c r="L464" s="20">
        <f ca="1">IFERROR(__xludf.DUMMYFUNCTION("""COMPUTED_VALUE"""),0)</f>
        <v>0</v>
      </c>
      <c r="M464" s="21">
        <f ca="1">IFERROR(__xludf.DUMMYFUNCTION("""COMPUTED_VALUE"""),80)</f>
        <v>80</v>
      </c>
      <c r="N464" s="21">
        <f ca="1">IFERROR(__xludf.DUMMYFUNCTION("""COMPUTED_VALUE"""),0)</f>
        <v>0</v>
      </c>
      <c r="O464" s="22">
        <f ca="1">IFERROR(__xludf.DUMMYFUNCTION("""COMPUTED_VALUE"""),115)</f>
        <v>115</v>
      </c>
      <c r="P464" s="22">
        <f ca="1">IFERROR(__xludf.DUMMYFUNCTION("""COMPUTED_VALUE"""),10)</f>
        <v>10</v>
      </c>
      <c r="Q464" s="23">
        <f ca="1">IFERROR(__xludf.DUMMYFUNCTION("""COMPUTED_VALUE"""),510)</f>
        <v>510</v>
      </c>
      <c r="R464" s="23">
        <f ca="1">IFERROR(__xludf.DUMMYFUNCTION("""COMPUTED_VALUE"""),10)</f>
        <v>10</v>
      </c>
      <c r="S464" s="24" t="str">
        <f ca="1">IFERROR(__xludf.DUMMYFUNCTION("""COMPUTED_VALUE"""),"Run Away")</f>
        <v>Run Away</v>
      </c>
      <c r="T464" s="24" t="str">
        <f ca="1">IFERROR(__xludf.DUMMYFUNCTION("""COMPUTED_VALUE"""),"Pastel Veil")</f>
        <v>Pastel Veil</v>
      </c>
      <c r="U464" s="24" t="str">
        <f ca="1">IFERROR(__xludf.DUMMYFUNCTION("""COMPUTED_VALUE"""),"Anticipation")</f>
        <v>Anticipation</v>
      </c>
      <c r="V464" s="25" t="str">
        <f ca="1">IFERROR(__xludf.DUMMYFUNCTION("""COMPUTED_VALUE"""),"Lv. 30")</f>
        <v>Lv. 30</v>
      </c>
      <c r="W464" s="25"/>
      <c r="X464" s="25"/>
      <c r="Y464" s="25" t="str">
        <f ca="1">IFERROR(__xludf.DUMMYFUNCTION("""COMPUTED_VALUE"""),"Port Pello (wild)")</f>
        <v>Port Pello (wild)</v>
      </c>
    </row>
    <row r="465" spans="1:25" x14ac:dyDescent="0.25">
      <c r="A465" s="25" t="str">
        <f ca="1">IFERROR(__xludf.DUMMYFUNCTION("""COMPUTED_VALUE"""),"Galarian Corsola")</f>
        <v>Galarian Corsola</v>
      </c>
      <c r="B465" s="27">
        <f ca="1">IFERROR(__xludf.DUMMYFUNCTION("""COMPUTED_VALUE"""),254)</f>
        <v>254</v>
      </c>
      <c r="C465" s="26" t="str">
        <f ca="1">IFERROR(__xludf.DUMMYFUNCTION("""COMPUTED_VALUE"""),"Ghost")</f>
        <v>Ghost</v>
      </c>
      <c r="D465" s="3" t="str">
        <f ca="1">IFERROR(__xludf.DUMMYFUNCTION("""COMPUTED_VALUE"""),"Rock")</f>
        <v>Rock</v>
      </c>
      <c r="E465" s="17">
        <f ca="1">IFERROR(__xludf.DUMMYFUNCTION("""COMPUTED_VALUE"""),60)</f>
        <v>60</v>
      </c>
      <c r="F465" s="17">
        <f ca="1">IFERROR(__xludf.DUMMYFUNCTION("""COMPUTED_VALUE"""),0)</f>
        <v>0</v>
      </c>
      <c r="G465" s="18">
        <f ca="1">IFERROR(__xludf.DUMMYFUNCTION("""COMPUTED_VALUE"""),55)</f>
        <v>55</v>
      </c>
      <c r="H465" s="18">
        <f ca="1">IFERROR(__xludf.DUMMYFUNCTION("""COMPUTED_VALUE"""),0)</f>
        <v>0</v>
      </c>
      <c r="I465" s="19">
        <f ca="1">IFERROR(__xludf.DUMMYFUNCTION("""COMPUTED_VALUE"""),100)</f>
        <v>100</v>
      </c>
      <c r="J465" s="19">
        <f ca="1">IFERROR(__xludf.DUMMYFUNCTION("""COMPUTED_VALUE"""),0)</f>
        <v>0</v>
      </c>
      <c r="K465" s="20">
        <f ca="1">IFERROR(__xludf.DUMMYFUNCTION("""COMPUTED_VALUE"""),65)</f>
        <v>65</v>
      </c>
      <c r="L465" s="20">
        <f ca="1">IFERROR(__xludf.DUMMYFUNCTION("""COMPUTED_VALUE"""),0)</f>
        <v>0</v>
      </c>
      <c r="M465" s="21">
        <f ca="1">IFERROR(__xludf.DUMMYFUNCTION("""COMPUTED_VALUE"""),100)</f>
        <v>100</v>
      </c>
      <c r="N465" s="21">
        <f ca="1">IFERROR(__xludf.DUMMYFUNCTION("""COMPUTED_VALUE"""),0)</f>
        <v>0</v>
      </c>
      <c r="O465" s="22">
        <f ca="1">IFERROR(__xludf.DUMMYFUNCTION("""COMPUTED_VALUE"""),30)</f>
        <v>30</v>
      </c>
      <c r="P465" s="22">
        <f ca="1">IFERROR(__xludf.DUMMYFUNCTION("""COMPUTED_VALUE"""),0)</f>
        <v>0</v>
      </c>
      <c r="Q465" s="23">
        <f ca="1">IFERROR(__xludf.DUMMYFUNCTION("""COMPUTED_VALUE"""),410)</f>
        <v>410</v>
      </c>
      <c r="R465" s="23">
        <f ca="1">IFERROR(__xludf.DUMMYFUNCTION("""COMPUTED_VALUE"""),0)</f>
        <v>0</v>
      </c>
      <c r="S465" s="24" t="str">
        <f ca="1">IFERROR(__xludf.DUMMYFUNCTION("""COMPUTED_VALUE"""),"Weak Armor")</f>
        <v>Weak Armor</v>
      </c>
      <c r="T465" s="25"/>
      <c r="U465" s="24" t="str">
        <f ca="1">IFERROR(__xludf.DUMMYFUNCTION("""COMPUTED_VALUE"""),"Cursed Body")</f>
        <v>Cursed Body</v>
      </c>
      <c r="V465" s="25"/>
      <c r="W465" s="25"/>
      <c r="X465" s="25"/>
      <c r="Y465" s="25" t="str">
        <f ca="1">IFERROR(__xludf.DUMMYFUNCTION("""COMPUTED_VALUE"""),"Sofos City, Marmaro Island, Myrrini Island")</f>
        <v>Sofos City, Marmaro Island, Myrrini Island</v>
      </c>
    </row>
    <row r="466" spans="1:25" x14ac:dyDescent="0.25">
      <c r="A466" s="25" t="str">
        <f ca="1">IFERROR(__xludf.DUMMYFUNCTION("""COMPUTED_VALUE"""),"Basculin Blue?")</f>
        <v>Basculin Blue?</v>
      </c>
      <c r="B466" s="27">
        <f ca="1">IFERROR(__xludf.DUMMYFUNCTION("""COMPUTED_VALUE"""),287)</f>
        <v>287</v>
      </c>
      <c r="C466" s="26" t="str">
        <f ca="1">IFERROR(__xludf.DUMMYFUNCTION("""COMPUTED_VALUE"""),"Water")</f>
        <v>Water</v>
      </c>
      <c r="D466" s="3"/>
      <c r="E466" s="17">
        <f ca="1">IFERROR(__xludf.DUMMYFUNCTION("""COMPUTED_VALUE"""),70)</f>
        <v>70</v>
      </c>
      <c r="F466" s="17">
        <f ca="1">IFERROR(__xludf.DUMMYFUNCTION("""COMPUTED_VALUE"""),0)</f>
        <v>0</v>
      </c>
      <c r="G466" s="18">
        <f ca="1">IFERROR(__xludf.DUMMYFUNCTION("""COMPUTED_VALUE"""),102)</f>
        <v>102</v>
      </c>
      <c r="H466" s="18">
        <f ca="1">IFERROR(__xludf.DUMMYFUNCTION("""COMPUTED_VALUE"""),10)</f>
        <v>10</v>
      </c>
      <c r="I466" s="19">
        <f ca="1">IFERROR(__xludf.DUMMYFUNCTION("""COMPUTED_VALUE"""),65)</f>
        <v>65</v>
      </c>
      <c r="J466" s="19">
        <f ca="1">IFERROR(__xludf.DUMMYFUNCTION("""COMPUTED_VALUE"""),0)</f>
        <v>0</v>
      </c>
      <c r="K466" s="20">
        <f ca="1">IFERROR(__xludf.DUMMYFUNCTION("""COMPUTED_VALUE"""),80)</f>
        <v>80</v>
      </c>
      <c r="L466" s="20">
        <f ca="1">IFERROR(__xludf.DUMMYFUNCTION("""COMPUTED_VALUE"""),0)</f>
        <v>0</v>
      </c>
      <c r="M466" s="21">
        <f ca="1">IFERROR(__xludf.DUMMYFUNCTION("""COMPUTED_VALUE"""),55)</f>
        <v>55</v>
      </c>
      <c r="N466" s="21">
        <f ca="1">IFERROR(__xludf.DUMMYFUNCTION("""COMPUTED_VALUE"""),0)</f>
        <v>0</v>
      </c>
      <c r="O466" s="22">
        <f ca="1">IFERROR(__xludf.DUMMYFUNCTION("""COMPUTED_VALUE"""),98)</f>
        <v>98</v>
      </c>
      <c r="P466" s="22">
        <f ca="1">IFERROR(__xludf.DUMMYFUNCTION("""COMPUTED_VALUE"""),0)</f>
        <v>0</v>
      </c>
      <c r="Q466" s="23">
        <f ca="1">IFERROR(__xludf.DUMMYFUNCTION("""COMPUTED_VALUE"""),470)</f>
        <v>470</v>
      </c>
      <c r="R466" s="23">
        <f ca="1">IFERROR(__xludf.DUMMYFUNCTION("""COMPUTED_VALUE"""),10)</f>
        <v>10</v>
      </c>
      <c r="S466" s="24" t="str">
        <f ca="1">IFERROR(__xludf.DUMMYFUNCTION("""COMPUTED_VALUE"""),"Rock Head")</f>
        <v>Rock Head</v>
      </c>
      <c r="T466" s="24" t="str">
        <f ca="1">IFERROR(__xludf.DUMMYFUNCTION("""COMPUTED_VALUE"""),"Adaptability")</f>
        <v>Adaptability</v>
      </c>
      <c r="U466" s="24" t="str">
        <f ca="1">IFERROR(__xludf.DUMMYFUNCTION("""COMPUTED_VALUE"""),"Mold Breaker")</f>
        <v>Mold Breaker</v>
      </c>
      <c r="V466" s="25"/>
      <c r="W466" s="25"/>
      <c r="X466" s="25" t="str">
        <f ca="1">IFERROR(__xludf.DUMMYFUNCTION("""COMPUTED_VALUE"""),"Deep Sea Scale")</f>
        <v>Deep Sea Scale</v>
      </c>
      <c r="Y466" s="25" t="str">
        <f ca="1">IFERROR(__xludf.DUMMYFUNCTION("""COMPUTED_VALUE"""),"?")</f>
        <v>?</v>
      </c>
    </row>
    <row r="467" spans="1:25" x14ac:dyDescent="0.25">
      <c r="A467" s="25" t="str">
        <f ca="1">IFERROR(__xludf.DUMMYFUNCTION("""COMPUTED_VALUE"""),"Basculin White")</f>
        <v>Basculin White</v>
      </c>
      <c r="B467" s="27">
        <f ca="1">IFERROR(__xludf.DUMMYFUNCTION("""COMPUTED_VALUE"""),287)</f>
        <v>287</v>
      </c>
      <c r="C467" s="26" t="str">
        <f ca="1">IFERROR(__xludf.DUMMYFUNCTION("""COMPUTED_VALUE"""),"Water")</f>
        <v>Water</v>
      </c>
      <c r="D467" s="3"/>
      <c r="E467" s="17">
        <f ca="1">IFERROR(__xludf.DUMMYFUNCTION("""COMPUTED_VALUE"""),70)</f>
        <v>70</v>
      </c>
      <c r="F467" s="17">
        <f ca="1">IFERROR(__xludf.DUMMYFUNCTION("""COMPUTED_VALUE"""),0)</f>
        <v>0</v>
      </c>
      <c r="G467" s="18">
        <f ca="1">IFERROR(__xludf.DUMMYFUNCTION("""COMPUTED_VALUE"""),92)</f>
        <v>92</v>
      </c>
      <c r="H467" s="18">
        <f ca="1">IFERROR(__xludf.DUMMYFUNCTION("""COMPUTED_VALUE"""),0)</f>
        <v>0</v>
      </c>
      <c r="I467" s="19">
        <f ca="1">IFERROR(__xludf.DUMMYFUNCTION("""COMPUTED_VALUE"""),65)</f>
        <v>65</v>
      </c>
      <c r="J467" s="19">
        <f ca="1">IFERROR(__xludf.DUMMYFUNCTION("""COMPUTED_VALUE"""),0)</f>
        <v>0</v>
      </c>
      <c r="K467" s="20">
        <f ca="1">IFERROR(__xludf.DUMMYFUNCTION("""COMPUTED_VALUE"""),80)</f>
        <v>80</v>
      </c>
      <c r="L467" s="20">
        <f ca="1">IFERROR(__xludf.DUMMYFUNCTION("""COMPUTED_VALUE"""),0)</f>
        <v>0</v>
      </c>
      <c r="M467" s="21">
        <f ca="1">IFERROR(__xludf.DUMMYFUNCTION("""COMPUTED_VALUE"""),55)</f>
        <v>55</v>
      </c>
      <c r="N467" s="21">
        <f ca="1">IFERROR(__xludf.DUMMYFUNCTION("""COMPUTED_VALUE"""),0)</f>
        <v>0</v>
      </c>
      <c r="O467" s="22">
        <f ca="1">IFERROR(__xludf.DUMMYFUNCTION("""COMPUTED_VALUE"""),98)</f>
        <v>98</v>
      </c>
      <c r="P467" s="22">
        <f ca="1">IFERROR(__xludf.DUMMYFUNCTION("""COMPUTED_VALUE"""),0)</f>
        <v>0</v>
      </c>
      <c r="Q467" s="23">
        <f ca="1">IFERROR(__xludf.DUMMYFUNCTION("""COMPUTED_VALUE"""),460)</f>
        <v>460</v>
      </c>
      <c r="R467" s="23">
        <f ca="1">IFERROR(__xludf.DUMMYFUNCTION("""COMPUTED_VALUE"""),0)</f>
        <v>0</v>
      </c>
      <c r="S467" s="24" t="str">
        <f ca="1">IFERROR(__xludf.DUMMYFUNCTION("""COMPUTED_VALUE"""),"Rattled")</f>
        <v>Rattled</v>
      </c>
      <c r="T467" s="24" t="str">
        <f ca="1">IFERROR(__xludf.DUMMYFUNCTION("""COMPUTED_VALUE"""),"Adaptability")</f>
        <v>Adaptability</v>
      </c>
      <c r="U467" s="24" t="str">
        <f ca="1">IFERROR(__xludf.DUMMYFUNCTION("""COMPUTED_VALUE"""),"Mold Breaker")</f>
        <v>Mold Breaker</v>
      </c>
      <c r="V467" s="25"/>
      <c r="W467" s="25"/>
      <c r="X467" s="25" t="str">
        <f ca="1">IFERROR(__xludf.DUMMYFUNCTION("""COMPUTED_VALUE"""),"Deep Sea Scale")</f>
        <v>Deep Sea Scale</v>
      </c>
      <c r="Y467" s="25" t="str">
        <f ca="1">IFERROR(__xludf.DUMMYFUNCTION("""COMPUTED_VALUE"""),"Pythios Cemetery (OR) Acrisia City, Acrisia Mountains, Wanderer`s Woods, Pythios Town, Pythios Cemetery (SR)(fish) Froslass Cavern, Myrrini Island")</f>
        <v>Pythios Cemetery (OR) Acrisia City, Acrisia Mountains, Wanderer`s Woods, Pythios Town, Pythios Cemetery (SR)(fish) Froslass Cavern, Myrrini Island</v>
      </c>
    </row>
    <row r="468" spans="1:25" x14ac:dyDescent="0.25">
      <c r="A468" s="25" t="str">
        <f ca="1">IFERROR(__xludf.DUMMYFUNCTION("""COMPUTED_VALUE"""),"Basculegion♀")</f>
        <v>Basculegion♀</v>
      </c>
      <c r="B468" s="27">
        <f ca="1">IFERROR(__xludf.DUMMYFUNCTION("""COMPUTED_VALUE"""),288)</f>
        <v>288</v>
      </c>
      <c r="C468" s="26" t="str">
        <f ca="1">IFERROR(__xludf.DUMMYFUNCTION("""COMPUTED_VALUE"""),"Water")</f>
        <v>Water</v>
      </c>
      <c r="D468" s="3" t="str">
        <f ca="1">IFERROR(__xludf.DUMMYFUNCTION("""COMPUTED_VALUE"""),"Ghost")</f>
        <v>Ghost</v>
      </c>
      <c r="E468" s="17">
        <f ca="1">IFERROR(__xludf.DUMMYFUNCTION("""COMPUTED_VALUE"""),125)</f>
        <v>125</v>
      </c>
      <c r="F468" s="17">
        <f ca="1">IFERROR(__xludf.DUMMYFUNCTION("""COMPUTED_VALUE"""),5)</f>
        <v>5</v>
      </c>
      <c r="G468" s="18">
        <f ca="1">IFERROR(__xludf.DUMMYFUNCTION("""COMPUTED_VALUE"""),90)</f>
        <v>90</v>
      </c>
      <c r="H468" s="18">
        <f ca="1">IFERROR(__xludf.DUMMYFUNCTION("""COMPUTED_VALUE"""),-2)</f>
        <v>-2</v>
      </c>
      <c r="I468" s="19">
        <f ca="1">IFERROR(__xludf.DUMMYFUNCTION("""COMPUTED_VALUE"""),65)</f>
        <v>65</v>
      </c>
      <c r="J468" s="19">
        <f ca="1">IFERROR(__xludf.DUMMYFUNCTION("""COMPUTED_VALUE"""),0)</f>
        <v>0</v>
      </c>
      <c r="K468" s="20">
        <f ca="1">IFERROR(__xludf.DUMMYFUNCTION("""COMPUTED_VALUE"""),92)</f>
        <v>92</v>
      </c>
      <c r="L468" s="20">
        <f ca="1">IFERROR(__xludf.DUMMYFUNCTION("""COMPUTED_VALUE"""),-8)</f>
        <v>-8</v>
      </c>
      <c r="M468" s="21">
        <f ca="1">IFERROR(__xludf.DUMMYFUNCTION("""COMPUTED_VALUE"""),80)</f>
        <v>80</v>
      </c>
      <c r="N468" s="21">
        <f ca="1">IFERROR(__xludf.DUMMYFUNCTION("""COMPUTED_VALUE"""),5)</f>
        <v>5</v>
      </c>
      <c r="O468" s="22">
        <f ca="1">IFERROR(__xludf.DUMMYFUNCTION("""COMPUTED_VALUE"""),78)</f>
        <v>78</v>
      </c>
      <c r="P468" s="22">
        <f ca="1">IFERROR(__xludf.DUMMYFUNCTION("""COMPUTED_VALUE"""),0)</f>
        <v>0</v>
      </c>
      <c r="Q468" s="23">
        <f ca="1">IFERROR(__xludf.DUMMYFUNCTION("""COMPUTED_VALUE"""),530)</f>
        <v>530</v>
      </c>
      <c r="R468" s="23">
        <f ca="1">IFERROR(__xludf.DUMMYFUNCTION("""COMPUTED_VALUE"""),0)</f>
        <v>0</v>
      </c>
      <c r="S468" s="24" t="str">
        <f ca="1">IFERROR(__xludf.DUMMYFUNCTION("""COMPUTED_VALUE"""),"Swift Swim")</f>
        <v>Swift Swim</v>
      </c>
      <c r="T468" s="24" t="str">
        <f ca="1">IFERROR(__xludf.DUMMYFUNCTION("""COMPUTED_VALUE"""),"Adaptability")</f>
        <v>Adaptability</v>
      </c>
      <c r="U468" s="24" t="str">
        <f ca="1">IFERROR(__xludf.DUMMYFUNCTION("""COMPUTED_VALUE"""),"Mold Breaker")</f>
        <v>Mold Breaker</v>
      </c>
      <c r="V468" s="25" t="str">
        <f ca="1">IFERROR(__xludf.DUMMYFUNCTION("""COMPUTED_VALUE"""),"Lv. after 294 Recoil Dmg, Female")</f>
        <v>Lv. after 294 Recoil Dmg, Female</v>
      </c>
      <c r="W468" s="25"/>
      <c r="X468" s="25"/>
      <c r="Y468" s="25" t="str">
        <f ca="1">IFERROR(__xludf.DUMMYFUNCTION("""COMPUTED_VALUE"""),"Basculin White (evolve)")</f>
        <v>Basculin White (evolve)</v>
      </c>
    </row>
    <row r="469" spans="1:25" x14ac:dyDescent="0.25">
      <c r="A469" s="25" t="str">
        <f ca="1">IFERROR(__xludf.DUMMYFUNCTION("""COMPUTED_VALUE"""),"Eternal Flower Floette")</f>
        <v>Eternal Flower Floette</v>
      </c>
      <c r="B469" s="27">
        <f ca="1">IFERROR(__xludf.DUMMYFUNCTION("""COMPUTED_VALUE"""),313)</f>
        <v>313</v>
      </c>
      <c r="C469" s="26" t="str">
        <f ca="1">IFERROR(__xludf.DUMMYFUNCTION("""COMPUTED_VALUE"""),"Fairy")</f>
        <v>Fairy</v>
      </c>
      <c r="D469" s="3"/>
      <c r="E469" s="17">
        <f ca="1">IFERROR(__xludf.DUMMYFUNCTION("""COMPUTED_VALUE"""),74)</f>
        <v>74</v>
      </c>
      <c r="F469" s="17">
        <f ca="1">IFERROR(__xludf.DUMMYFUNCTION("""COMPUTED_VALUE"""),0)</f>
        <v>0</v>
      </c>
      <c r="G469" s="18">
        <f ca="1">IFERROR(__xludf.DUMMYFUNCTION("""COMPUTED_VALUE"""),65)</f>
        <v>65</v>
      </c>
      <c r="H469" s="18">
        <f ca="1">IFERROR(__xludf.DUMMYFUNCTION("""COMPUTED_VALUE"""),0)</f>
        <v>0</v>
      </c>
      <c r="I469" s="19">
        <f ca="1">IFERROR(__xludf.DUMMYFUNCTION("""COMPUTED_VALUE"""),67)</f>
        <v>67</v>
      </c>
      <c r="J469" s="19">
        <f ca="1">IFERROR(__xludf.DUMMYFUNCTION("""COMPUTED_VALUE"""),0)</f>
        <v>0</v>
      </c>
      <c r="K469" s="20">
        <f ca="1">IFERROR(__xludf.DUMMYFUNCTION("""COMPUTED_VALUE"""),125)</f>
        <v>125</v>
      </c>
      <c r="L469" s="20">
        <f ca="1">IFERROR(__xludf.DUMMYFUNCTION("""COMPUTED_VALUE"""),0)</f>
        <v>0</v>
      </c>
      <c r="M469" s="21">
        <f ca="1">IFERROR(__xludf.DUMMYFUNCTION("""COMPUTED_VALUE"""),128)</f>
        <v>128</v>
      </c>
      <c r="N469" s="21">
        <f ca="1">IFERROR(__xludf.DUMMYFUNCTION("""COMPUTED_VALUE"""),0)</f>
        <v>0</v>
      </c>
      <c r="O469" s="22">
        <f ca="1">IFERROR(__xludf.DUMMYFUNCTION("""COMPUTED_VALUE"""),92)</f>
        <v>92</v>
      </c>
      <c r="P469" s="22">
        <f ca="1">IFERROR(__xludf.DUMMYFUNCTION("""COMPUTED_VALUE"""),0)</f>
        <v>0</v>
      </c>
      <c r="Q469" s="23">
        <f ca="1">IFERROR(__xludf.DUMMYFUNCTION("""COMPUTED_VALUE"""),551)</f>
        <v>551</v>
      </c>
      <c r="R469" s="23">
        <f ca="1">IFERROR(__xludf.DUMMYFUNCTION("""COMPUTED_VALUE"""),0)</f>
        <v>0</v>
      </c>
      <c r="S469" s="24" t="str">
        <f ca="1">IFERROR(__xludf.DUMMYFUNCTION("""COMPUTED_VALUE"""),"Flower Veil")</f>
        <v>Flower Veil</v>
      </c>
      <c r="T469" s="25"/>
      <c r="U469" s="24" t="str">
        <f ca="1">IFERROR(__xludf.DUMMYFUNCTION("""COMPUTED_VALUE"""),"Symbiosis")</f>
        <v>Symbiosis</v>
      </c>
      <c r="V469" s="25"/>
      <c r="W469" s="25"/>
      <c r="X469" s="25"/>
      <c r="Y469" s="25" t="str">
        <f ca="1">IFERROR(__xludf.DUMMYFUNCTION("""COMPUTED_VALUE"""),"? (PC Code)")</f>
        <v>? (PC Code)</v>
      </c>
    </row>
    <row r="470" spans="1:25" x14ac:dyDescent="0.25">
      <c r="A470" s="25" t="str">
        <f ca="1">IFERROR(__xludf.DUMMYFUNCTION("""COMPUTED_VALUE"""),"Galarian Zigzagoon")</f>
        <v>Galarian Zigzagoon</v>
      </c>
      <c r="B470" s="27">
        <f ca="1">IFERROR(__xludf.DUMMYFUNCTION("""COMPUTED_VALUE"""),348)</f>
        <v>348</v>
      </c>
      <c r="C470" s="26" t="str">
        <f ca="1">IFERROR(__xludf.DUMMYFUNCTION("""COMPUTED_VALUE"""),"Dark")</f>
        <v>Dark</v>
      </c>
      <c r="D470" s="3" t="str">
        <f ca="1">IFERROR(__xludf.DUMMYFUNCTION("""COMPUTED_VALUE"""),"Normal")</f>
        <v>Normal</v>
      </c>
      <c r="E470" s="17">
        <f ca="1">IFERROR(__xludf.DUMMYFUNCTION("""COMPUTED_VALUE"""),38)</f>
        <v>38</v>
      </c>
      <c r="F470" s="17">
        <f ca="1">IFERROR(__xludf.DUMMYFUNCTION("""COMPUTED_VALUE"""),0)</f>
        <v>0</v>
      </c>
      <c r="G470" s="18">
        <f ca="1">IFERROR(__xludf.DUMMYFUNCTION("""COMPUTED_VALUE"""),30)</f>
        <v>30</v>
      </c>
      <c r="H470" s="18">
        <f ca="1">IFERROR(__xludf.DUMMYFUNCTION("""COMPUTED_VALUE"""),0)</f>
        <v>0</v>
      </c>
      <c r="I470" s="19">
        <f ca="1">IFERROR(__xludf.DUMMYFUNCTION("""COMPUTED_VALUE"""),41)</f>
        <v>41</v>
      </c>
      <c r="J470" s="19">
        <f ca="1">IFERROR(__xludf.DUMMYFUNCTION("""COMPUTED_VALUE"""),0)</f>
        <v>0</v>
      </c>
      <c r="K470" s="20">
        <f ca="1">IFERROR(__xludf.DUMMYFUNCTION("""COMPUTED_VALUE"""),30)</f>
        <v>30</v>
      </c>
      <c r="L470" s="20">
        <f ca="1">IFERROR(__xludf.DUMMYFUNCTION("""COMPUTED_VALUE"""),0)</f>
        <v>0</v>
      </c>
      <c r="M470" s="21">
        <f ca="1">IFERROR(__xludf.DUMMYFUNCTION("""COMPUTED_VALUE"""),41)</f>
        <v>41</v>
      </c>
      <c r="N470" s="21">
        <f ca="1">IFERROR(__xludf.DUMMYFUNCTION("""COMPUTED_VALUE"""),0)</f>
        <v>0</v>
      </c>
      <c r="O470" s="22">
        <f ca="1">IFERROR(__xludf.DUMMYFUNCTION("""COMPUTED_VALUE"""),60)</f>
        <v>60</v>
      </c>
      <c r="P470" s="22">
        <f ca="1">IFERROR(__xludf.DUMMYFUNCTION("""COMPUTED_VALUE"""),0)</f>
        <v>0</v>
      </c>
      <c r="Q470" s="23">
        <f ca="1">IFERROR(__xludf.DUMMYFUNCTION("""COMPUTED_VALUE"""),240)</f>
        <v>240</v>
      </c>
      <c r="R470" s="23">
        <f ca="1">IFERROR(__xludf.DUMMYFUNCTION("""COMPUTED_VALUE"""),0)</f>
        <v>0</v>
      </c>
      <c r="S470" s="24" t="str">
        <f ca="1">IFERROR(__xludf.DUMMYFUNCTION("""COMPUTED_VALUE"""),"Pickup")</f>
        <v>Pickup</v>
      </c>
      <c r="T470" s="24" t="str">
        <f ca="1">IFERROR(__xludf.DUMMYFUNCTION("""COMPUTED_VALUE"""),"Gluttony")</f>
        <v>Gluttony</v>
      </c>
      <c r="U470" s="24" t="str">
        <f ca="1">IFERROR(__xludf.DUMMYFUNCTION("""COMPUTED_VALUE"""),"Quick Feet")</f>
        <v>Quick Feet</v>
      </c>
      <c r="V470" s="25"/>
      <c r="W470" s="25"/>
      <c r="X470" s="25"/>
      <c r="Y470" s="25" t="str">
        <f ca="1">IFERROR(__xludf.DUMMYFUNCTION("""COMPUTED_VALUE"""),"Riverwalk Trail S, Erinys Path W (wild)")</f>
        <v>Riverwalk Trail S, Erinys Path W (wild)</v>
      </c>
    </row>
    <row r="471" spans="1:25" x14ac:dyDescent="0.25">
      <c r="A471" s="25" t="str">
        <f ca="1">IFERROR(__xludf.DUMMYFUNCTION("""COMPUTED_VALUE"""),"Galarian Linoone")</f>
        <v>Galarian Linoone</v>
      </c>
      <c r="B471" s="27">
        <f ca="1">IFERROR(__xludf.DUMMYFUNCTION("""COMPUTED_VALUE"""),349)</f>
        <v>349</v>
      </c>
      <c r="C471" s="26" t="str">
        <f ca="1">IFERROR(__xludf.DUMMYFUNCTION("""COMPUTED_VALUE"""),"Dark")</f>
        <v>Dark</v>
      </c>
      <c r="D471" s="3" t="str">
        <f ca="1">IFERROR(__xludf.DUMMYFUNCTION("""COMPUTED_VALUE"""),"Normal")</f>
        <v>Normal</v>
      </c>
      <c r="E471" s="17">
        <f ca="1">IFERROR(__xludf.DUMMYFUNCTION("""COMPUTED_VALUE"""),78)</f>
        <v>78</v>
      </c>
      <c r="F471" s="17">
        <f ca="1">IFERROR(__xludf.DUMMYFUNCTION("""COMPUTED_VALUE"""),0)</f>
        <v>0</v>
      </c>
      <c r="G471" s="18">
        <f ca="1">IFERROR(__xludf.DUMMYFUNCTION("""COMPUTED_VALUE"""),70)</f>
        <v>70</v>
      </c>
      <c r="H471" s="18">
        <f ca="1">IFERROR(__xludf.DUMMYFUNCTION("""COMPUTED_VALUE"""),0)</f>
        <v>0</v>
      </c>
      <c r="I471" s="19">
        <f ca="1">IFERROR(__xludf.DUMMYFUNCTION("""COMPUTED_VALUE"""),61)</f>
        <v>61</v>
      </c>
      <c r="J471" s="19">
        <f ca="1">IFERROR(__xludf.DUMMYFUNCTION("""COMPUTED_VALUE"""),0)</f>
        <v>0</v>
      </c>
      <c r="K471" s="20">
        <f ca="1">IFERROR(__xludf.DUMMYFUNCTION("""COMPUTED_VALUE"""),50)</f>
        <v>50</v>
      </c>
      <c r="L471" s="20">
        <f ca="1">IFERROR(__xludf.DUMMYFUNCTION("""COMPUTED_VALUE"""),0)</f>
        <v>0</v>
      </c>
      <c r="M471" s="21">
        <f ca="1">IFERROR(__xludf.DUMMYFUNCTION("""COMPUTED_VALUE"""),61)</f>
        <v>61</v>
      </c>
      <c r="N471" s="21">
        <f ca="1">IFERROR(__xludf.DUMMYFUNCTION("""COMPUTED_VALUE"""),0)</f>
        <v>0</v>
      </c>
      <c r="O471" s="22">
        <f ca="1">IFERROR(__xludf.DUMMYFUNCTION("""COMPUTED_VALUE"""),100)</f>
        <v>100</v>
      </c>
      <c r="P471" s="22">
        <f ca="1">IFERROR(__xludf.DUMMYFUNCTION("""COMPUTED_VALUE"""),0)</f>
        <v>0</v>
      </c>
      <c r="Q471" s="23">
        <f ca="1">IFERROR(__xludf.DUMMYFUNCTION("""COMPUTED_VALUE"""),420)</f>
        <v>420</v>
      </c>
      <c r="R471" s="23">
        <f ca="1">IFERROR(__xludf.DUMMYFUNCTION("""COMPUTED_VALUE"""),0)</f>
        <v>0</v>
      </c>
      <c r="S471" s="24" t="str">
        <f ca="1">IFERROR(__xludf.DUMMYFUNCTION("""COMPUTED_VALUE"""),"Pickup")</f>
        <v>Pickup</v>
      </c>
      <c r="T471" s="24" t="str">
        <f ca="1">IFERROR(__xludf.DUMMYFUNCTION("""COMPUTED_VALUE"""),"Gluttony")</f>
        <v>Gluttony</v>
      </c>
      <c r="U471" s="24" t="str">
        <f ca="1">IFERROR(__xludf.DUMMYFUNCTION("""COMPUTED_VALUE"""),"Quick Feet")</f>
        <v>Quick Feet</v>
      </c>
      <c r="V471" s="25" t="str">
        <f ca="1">IFERROR(__xludf.DUMMYFUNCTION("""COMPUTED_VALUE"""),"Lv. 20")</f>
        <v>Lv. 20</v>
      </c>
      <c r="W471" s="25"/>
      <c r="X471" s="25"/>
      <c r="Y471" s="25" t="str">
        <f ca="1">IFERROR(__xludf.DUMMYFUNCTION("""COMPUTED_VALUE"""),"Port Pello, Sea of Asteri (wild)")</f>
        <v>Port Pello, Sea of Asteri (wild)</v>
      </c>
    </row>
    <row r="472" spans="1:25" x14ac:dyDescent="0.25">
      <c r="A472" s="25" t="str">
        <f ca="1">IFERROR(__xludf.DUMMYFUNCTION("""COMPUTED_VALUE"""),"Hisuian Sliggoo")</f>
        <v>Hisuian Sliggoo</v>
      </c>
      <c r="B472" s="27">
        <f ca="1">IFERROR(__xludf.DUMMYFUNCTION("""COMPUTED_VALUE"""),352)</f>
        <v>352</v>
      </c>
      <c r="C472" s="26" t="str">
        <f ca="1">IFERROR(__xludf.DUMMYFUNCTION("""COMPUTED_VALUE"""),"Dragon")</f>
        <v>Dragon</v>
      </c>
      <c r="D472" s="3" t="str">
        <f ca="1">IFERROR(__xludf.DUMMYFUNCTION("""COMPUTED_VALUE"""),"Steel")</f>
        <v>Steel</v>
      </c>
      <c r="E472" s="17">
        <f ca="1">IFERROR(__xludf.DUMMYFUNCTION("""COMPUTED_VALUE"""),58)</f>
        <v>58</v>
      </c>
      <c r="F472" s="17">
        <f ca="1">IFERROR(__xludf.DUMMYFUNCTION("""COMPUTED_VALUE"""),0)</f>
        <v>0</v>
      </c>
      <c r="G472" s="18">
        <f ca="1">IFERROR(__xludf.DUMMYFUNCTION("""COMPUTED_VALUE"""),75)</f>
        <v>75</v>
      </c>
      <c r="H472" s="18">
        <f ca="1">IFERROR(__xludf.DUMMYFUNCTION("""COMPUTED_VALUE"""),0)</f>
        <v>0</v>
      </c>
      <c r="I472" s="19">
        <f ca="1">IFERROR(__xludf.DUMMYFUNCTION("""COMPUTED_VALUE"""),83)</f>
        <v>83</v>
      </c>
      <c r="J472" s="19">
        <f ca="1">IFERROR(__xludf.DUMMYFUNCTION("""COMPUTED_VALUE"""),0)</f>
        <v>0</v>
      </c>
      <c r="K472" s="20">
        <f ca="1">IFERROR(__xludf.DUMMYFUNCTION("""COMPUTED_VALUE"""),83)</f>
        <v>83</v>
      </c>
      <c r="L472" s="20">
        <f ca="1">IFERROR(__xludf.DUMMYFUNCTION("""COMPUTED_VALUE"""),0)</f>
        <v>0</v>
      </c>
      <c r="M472" s="21">
        <f ca="1">IFERROR(__xludf.DUMMYFUNCTION("""COMPUTED_VALUE"""),113)</f>
        <v>113</v>
      </c>
      <c r="N472" s="21">
        <f ca="1">IFERROR(__xludf.DUMMYFUNCTION("""COMPUTED_VALUE"""),0)</f>
        <v>0</v>
      </c>
      <c r="O472" s="22">
        <f ca="1">IFERROR(__xludf.DUMMYFUNCTION("""COMPUTED_VALUE"""),40)</f>
        <v>40</v>
      </c>
      <c r="P472" s="22">
        <f ca="1">IFERROR(__xludf.DUMMYFUNCTION("""COMPUTED_VALUE"""),0)</f>
        <v>0</v>
      </c>
      <c r="Q472" s="23">
        <f ca="1">IFERROR(__xludf.DUMMYFUNCTION("""COMPUTED_VALUE"""),452)</f>
        <v>452</v>
      </c>
      <c r="R472" s="23">
        <f ca="1">IFERROR(__xludf.DUMMYFUNCTION("""COMPUTED_VALUE"""),0)</f>
        <v>0</v>
      </c>
      <c r="S472" s="24" t="str">
        <f ca="1">IFERROR(__xludf.DUMMYFUNCTION("""COMPUTED_VALUE"""),"Sap Sipper")</f>
        <v>Sap Sipper</v>
      </c>
      <c r="T472" s="24" t="str">
        <f ca="1">IFERROR(__xludf.DUMMYFUNCTION("""COMPUTED_VALUE"""),"Shell Armor")</f>
        <v>Shell Armor</v>
      </c>
      <c r="U472" s="24" t="str">
        <f ca="1">IFERROR(__xludf.DUMMYFUNCTION("""COMPUTED_VALUE"""),"Gooey")</f>
        <v>Gooey</v>
      </c>
      <c r="V472" s="25" t="str">
        <f ca="1">IFERROR(__xludf.DUMMYFUNCTION("""COMPUTED_VALUE"""),"Metal Coat?")</f>
        <v>Metal Coat?</v>
      </c>
      <c r="W472" s="25"/>
      <c r="X472" s="25" t="str">
        <f ca="1">IFERROR(__xludf.DUMMYFUNCTION("""COMPUTED_VALUE"""),"Shed Shell")</f>
        <v>Shed Shell</v>
      </c>
      <c r="Y472" s="25" t="str">
        <f ca="1">IFERROR(__xludf.DUMMYFUNCTION("""COMPUTED_VALUE"""),"Goomy (evolve)")</f>
        <v>Goomy (evolve)</v>
      </c>
    </row>
    <row r="473" spans="1:25" x14ac:dyDescent="0.25">
      <c r="A473" s="25" t="str">
        <f ca="1">IFERROR(__xludf.DUMMYFUNCTION("""COMPUTED_VALUE"""),"Hisuian Goodra")</f>
        <v>Hisuian Goodra</v>
      </c>
      <c r="B473" s="27">
        <f ca="1">IFERROR(__xludf.DUMMYFUNCTION("""COMPUTED_VALUE"""),353)</f>
        <v>353</v>
      </c>
      <c r="C473" s="26" t="str">
        <f ca="1">IFERROR(__xludf.DUMMYFUNCTION("""COMPUTED_VALUE"""),"Dragon")</f>
        <v>Dragon</v>
      </c>
      <c r="D473" s="3" t="str">
        <f ca="1">IFERROR(__xludf.DUMMYFUNCTION("""COMPUTED_VALUE"""),"Steel")</f>
        <v>Steel</v>
      </c>
      <c r="E473" s="17">
        <f ca="1">IFERROR(__xludf.DUMMYFUNCTION("""COMPUTED_VALUE"""),80)</f>
        <v>80</v>
      </c>
      <c r="F473" s="17">
        <f ca="1">IFERROR(__xludf.DUMMYFUNCTION("""COMPUTED_VALUE"""),0)</f>
        <v>0</v>
      </c>
      <c r="G473" s="18">
        <f ca="1">IFERROR(__xludf.DUMMYFUNCTION("""COMPUTED_VALUE"""),100)</f>
        <v>100</v>
      </c>
      <c r="H473" s="18">
        <f ca="1">IFERROR(__xludf.DUMMYFUNCTION("""COMPUTED_VALUE"""),0)</f>
        <v>0</v>
      </c>
      <c r="I473" s="19">
        <f ca="1">IFERROR(__xludf.DUMMYFUNCTION("""COMPUTED_VALUE"""),100)</f>
        <v>100</v>
      </c>
      <c r="J473" s="19">
        <f ca="1">IFERROR(__xludf.DUMMYFUNCTION("""COMPUTED_VALUE"""),0)</f>
        <v>0</v>
      </c>
      <c r="K473" s="20">
        <f ca="1">IFERROR(__xludf.DUMMYFUNCTION("""COMPUTED_VALUE"""),110)</f>
        <v>110</v>
      </c>
      <c r="L473" s="20">
        <f ca="1">IFERROR(__xludf.DUMMYFUNCTION("""COMPUTED_VALUE"""),0)</f>
        <v>0</v>
      </c>
      <c r="M473" s="21">
        <f ca="1">IFERROR(__xludf.DUMMYFUNCTION("""COMPUTED_VALUE"""),150)</f>
        <v>150</v>
      </c>
      <c r="N473" s="21">
        <f ca="1">IFERROR(__xludf.DUMMYFUNCTION("""COMPUTED_VALUE"""),0)</f>
        <v>0</v>
      </c>
      <c r="O473" s="22">
        <f ca="1">IFERROR(__xludf.DUMMYFUNCTION("""COMPUTED_VALUE"""),60)</f>
        <v>60</v>
      </c>
      <c r="P473" s="22">
        <f ca="1">IFERROR(__xludf.DUMMYFUNCTION("""COMPUTED_VALUE"""),0)</f>
        <v>0</v>
      </c>
      <c r="Q473" s="23">
        <f ca="1">IFERROR(__xludf.DUMMYFUNCTION("""COMPUTED_VALUE"""),600)</f>
        <v>600</v>
      </c>
      <c r="R473" s="23">
        <f ca="1">IFERROR(__xludf.DUMMYFUNCTION("""COMPUTED_VALUE"""),0)</f>
        <v>0</v>
      </c>
      <c r="S473" s="24" t="str">
        <f ca="1">IFERROR(__xludf.DUMMYFUNCTION("""COMPUTED_VALUE"""),"Sap Sipper")</f>
        <v>Sap Sipper</v>
      </c>
      <c r="T473" s="24" t="str">
        <f ca="1">IFERROR(__xludf.DUMMYFUNCTION("""COMPUTED_VALUE"""),"Shell Armor")</f>
        <v>Shell Armor</v>
      </c>
      <c r="U473" s="24" t="str">
        <f ca="1">IFERROR(__xludf.DUMMYFUNCTION("""COMPUTED_VALUE"""),"Gooey")</f>
        <v>Gooey</v>
      </c>
      <c r="V473" s="25" t="str">
        <f ca="1">IFERROR(__xludf.DUMMYFUNCTION("""COMPUTED_VALUE"""),"Lv. 50, Overworld Rain?")</f>
        <v>Lv. 50, Overworld Rain?</v>
      </c>
      <c r="W473" s="25"/>
      <c r="X473" s="25"/>
      <c r="Y473" s="25" t="str">
        <f ca="1">IFERROR(__xludf.DUMMYFUNCTION("""COMPUTED_VALUE"""),"Hisuian Sliggoo (evolve)")</f>
        <v>Hisuian Sliggoo (evolve)</v>
      </c>
    </row>
    <row r="474" spans="1:25" x14ac:dyDescent="0.25">
      <c r="A474" s="25" t="str">
        <f ca="1">IFERROR(__xludf.DUMMYFUNCTION("""COMPUTED_VALUE"""),"Hisuian Voltorb")</f>
        <v>Hisuian Voltorb</v>
      </c>
      <c r="B474" s="27">
        <f ca="1">IFERROR(__xludf.DUMMYFUNCTION("""COMPUTED_VALUE"""),363)</f>
        <v>363</v>
      </c>
      <c r="C474" s="26" t="str">
        <f ca="1">IFERROR(__xludf.DUMMYFUNCTION("""COMPUTED_VALUE"""),"Electric")</f>
        <v>Electric</v>
      </c>
      <c r="D474" s="3" t="str">
        <f ca="1">IFERROR(__xludf.DUMMYFUNCTION("""COMPUTED_VALUE"""),"Grass")</f>
        <v>Grass</v>
      </c>
      <c r="E474" s="17">
        <f ca="1">IFERROR(__xludf.DUMMYFUNCTION("""COMPUTED_VALUE"""),45)</f>
        <v>45</v>
      </c>
      <c r="F474" s="17">
        <f ca="1">IFERROR(__xludf.DUMMYFUNCTION("""COMPUTED_VALUE"""),5)</f>
        <v>5</v>
      </c>
      <c r="G474" s="18">
        <f ca="1">IFERROR(__xludf.DUMMYFUNCTION("""COMPUTED_VALUE"""),30)</f>
        <v>30</v>
      </c>
      <c r="H474" s="18">
        <f ca="1">IFERROR(__xludf.DUMMYFUNCTION("""COMPUTED_VALUE"""),0)</f>
        <v>0</v>
      </c>
      <c r="I474" s="19">
        <f ca="1">IFERROR(__xludf.DUMMYFUNCTION("""COMPUTED_VALUE"""),50)</f>
        <v>50</v>
      </c>
      <c r="J474" s="19">
        <f ca="1">IFERROR(__xludf.DUMMYFUNCTION("""COMPUTED_VALUE"""),0)</f>
        <v>0</v>
      </c>
      <c r="K474" s="20">
        <f ca="1">IFERROR(__xludf.DUMMYFUNCTION("""COMPUTED_VALUE"""),60)</f>
        <v>60</v>
      </c>
      <c r="L474" s="20">
        <f ca="1">IFERROR(__xludf.DUMMYFUNCTION("""COMPUTED_VALUE"""),5)</f>
        <v>5</v>
      </c>
      <c r="M474" s="21">
        <f ca="1">IFERROR(__xludf.DUMMYFUNCTION("""COMPUTED_VALUE"""),55)</f>
        <v>55</v>
      </c>
      <c r="N474" s="21">
        <f ca="1">IFERROR(__xludf.DUMMYFUNCTION("""COMPUTED_VALUE"""),0)</f>
        <v>0</v>
      </c>
      <c r="O474" s="22">
        <f ca="1">IFERROR(__xludf.DUMMYFUNCTION("""COMPUTED_VALUE"""),90)</f>
        <v>90</v>
      </c>
      <c r="P474" s="22">
        <f ca="1">IFERROR(__xludf.DUMMYFUNCTION("""COMPUTED_VALUE"""),-10)</f>
        <v>-10</v>
      </c>
      <c r="Q474" s="23">
        <f ca="1">IFERROR(__xludf.DUMMYFUNCTION("""COMPUTED_VALUE"""),330)</f>
        <v>330</v>
      </c>
      <c r="R474" s="23">
        <f ca="1">IFERROR(__xludf.DUMMYFUNCTION("""COMPUTED_VALUE"""),0)</f>
        <v>0</v>
      </c>
      <c r="S474" s="24" t="str">
        <f ca="1">IFERROR(__xludf.DUMMYFUNCTION("""COMPUTED_VALUE"""),"Seed Sower")</f>
        <v>Seed Sower</v>
      </c>
      <c r="T474" s="24" t="str">
        <f ca="1">IFERROR(__xludf.DUMMYFUNCTION("""COMPUTED_VALUE"""),"Static")</f>
        <v>Static</v>
      </c>
      <c r="U474" s="24" t="str">
        <f ca="1">IFERROR(__xludf.DUMMYFUNCTION("""COMPUTED_VALUE"""),"Aftermath")</f>
        <v>Aftermath</v>
      </c>
      <c r="V474" s="25"/>
      <c r="W474" s="25"/>
      <c r="X474" s="25"/>
      <c r="Y474" s="25" t="str">
        <f ca="1">IFERROR(__xludf.DUMMYFUNCTION("""COMPUTED_VALUE"""),"Jusmail Town, Sea of Vulcai (wild)")</f>
        <v>Jusmail Town, Sea of Vulcai (wild)</v>
      </c>
    </row>
    <row r="475" spans="1:25" x14ac:dyDescent="0.25">
      <c r="A475" s="25" t="str">
        <f ca="1">IFERROR(__xludf.DUMMYFUNCTION("""COMPUTED_VALUE"""),"Hisuian Electrode")</f>
        <v>Hisuian Electrode</v>
      </c>
      <c r="B475" s="27">
        <f ca="1">IFERROR(__xludf.DUMMYFUNCTION("""COMPUTED_VALUE"""),364)</f>
        <v>364</v>
      </c>
      <c r="C475" s="26" t="str">
        <f ca="1">IFERROR(__xludf.DUMMYFUNCTION("""COMPUTED_VALUE"""),"Electric")</f>
        <v>Electric</v>
      </c>
      <c r="D475" s="3" t="str">
        <f ca="1">IFERROR(__xludf.DUMMYFUNCTION("""COMPUTED_VALUE"""),"Grass")</f>
        <v>Grass</v>
      </c>
      <c r="E475" s="17">
        <f ca="1">IFERROR(__xludf.DUMMYFUNCTION("""COMPUTED_VALUE"""),60)</f>
        <v>60</v>
      </c>
      <c r="F475" s="17">
        <f ca="1">IFERROR(__xludf.DUMMYFUNCTION("""COMPUTED_VALUE"""),0)</f>
        <v>0</v>
      </c>
      <c r="G475" s="18">
        <f ca="1">IFERROR(__xludf.DUMMYFUNCTION("""COMPUTED_VALUE"""),45)</f>
        <v>45</v>
      </c>
      <c r="H475" s="18">
        <f ca="1">IFERROR(__xludf.DUMMYFUNCTION("""COMPUTED_VALUE"""),-5)</f>
        <v>-5</v>
      </c>
      <c r="I475" s="19">
        <f ca="1">IFERROR(__xludf.DUMMYFUNCTION("""COMPUTED_VALUE"""),70)</f>
        <v>70</v>
      </c>
      <c r="J475" s="19">
        <f ca="1">IFERROR(__xludf.DUMMYFUNCTION("""COMPUTED_VALUE"""),0)</f>
        <v>0</v>
      </c>
      <c r="K475" s="20">
        <f ca="1">IFERROR(__xludf.DUMMYFUNCTION("""COMPUTED_VALUE"""),95)</f>
        <v>95</v>
      </c>
      <c r="L475" s="20">
        <f ca="1">IFERROR(__xludf.DUMMYFUNCTION("""COMPUTED_VALUE"""),15)</f>
        <v>15</v>
      </c>
      <c r="M475" s="21">
        <f ca="1">IFERROR(__xludf.DUMMYFUNCTION("""COMPUTED_VALUE"""),80)</f>
        <v>80</v>
      </c>
      <c r="N475" s="21">
        <f ca="1">IFERROR(__xludf.DUMMYFUNCTION("""COMPUTED_VALUE"""),0)</f>
        <v>0</v>
      </c>
      <c r="O475" s="22">
        <f ca="1">IFERROR(__xludf.DUMMYFUNCTION("""COMPUTED_VALUE"""),140)</f>
        <v>140</v>
      </c>
      <c r="P475" s="22">
        <f ca="1">IFERROR(__xludf.DUMMYFUNCTION("""COMPUTED_VALUE"""),-10)</f>
        <v>-10</v>
      </c>
      <c r="Q475" s="23">
        <f ca="1">IFERROR(__xludf.DUMMYFUNCTION("""COMPUTED_VALUE"""),490)</f>
        <v>490</v>
      </c>
      <c r="R475" s="23">
        <f ca="1">IFERROR(__xludf.DUMMYFUNCTION("""COMPUTED_VALUE"""),0)</f>
        <v>0</v>
      </c>
      <c r="S475" s="24" t="str">
        <f ca="1">IFERROR(__xludf.DUMMYFUNCTION("""COMPUTED_VALUE"""),"Seed Sower")</f>
        <v>Seed Sower</v>
      </c>
      <c r="T475" s="24" t="str">
        <f ca="1">IFERROR(__xludf.DUMMYFUNCTION("""COMPUTED_VALUE"""),"Static")</f>
        <v>Static</v>
      </c>
      <c r="U475" s="24" t="str">
        <f ca="1">IFERROR(__xludf.DUMMYFUNCTION("""COMPUTED_VALUE"""),"Aftermath")</f>
        <v>Aftermath</v>
      </c>
      <c r="V475" s="25" t="str">
        <f ca="1">IFERROR(__xludf.DUMMYFUNCTION("""COMPUTED_VALUE"""),"Leaf Stone")</f>
        <v>Leaf Stone</v>
      </c>
      <c r="W475" s="25"/>
      <c r="X475" s="25"/>
      <c r="Y475" s="25" t="str">
        <f ca="1">IFERROR(__xludf.DUMMYFUNCTION("""COMPUTED_VALUE"""),"The Nyx Trails (wild)")</f>
        <v>The Nyx Trails (wild)</v>
      </c>
    </row>
    <row r="476" spans="1:25" x14ac:dyDescent="0.25">
      <c r="A476" s="25" t="str">
        <f ca="1">IFERROR(__xludf.DUMMYFUNCTION("""COMPUTED_VALUE"""),"Hisuian Growlithe")</f>
        <v>Hisuian Growlithe</v>
      </c>
      <c r="B476" s="27">
        <f ca="1">IFERROR(__xludf.DUMMYFUNCTION("""COMPUTED_VALUE"""),376)</f>
        <v>376</v>
      </c>
      <c r="C476" s="26" t="str">
        <f ca="1">IFERROR(__xludf.DUMMYFUNCTION("""COMPUTED_VALUE"""),"Fire")</f>
        <v>Fire</v>
      </c>
      <c r="D476" s="3" t="str">
        <f ca="1">IFERROR(__xludf.DUMMYFUNCTION("""COMPUTED_VALUE"""),"Rock")</f>
        <v>Rock</v>
      </c>
      <c r="E476" s="17">
        <f ca="1">IFERROR(__xludf.DUMMYFUNCTION("""COMPUTED_VALUE"""),60)</f>
        <v>60</v>
      </c>
      <c r="F476" s="17">
        <f ca="1">IFERROR(__xludf.DUMMYFUNCTION("""COMPUTED_VALUE"""),0)</f>
        <v>0</v>
      </c>
      <c r="G476" s="18">
        <f ca="1">IFERROR(__xludf.DUMMYFUNCTION("""COMPUTED_VALUE"""),75)</f>
        <v>75</v>
      </c>
      <c r="H476" s="18">
        <f ca="1">IFERROR(__xludf.DUMMYFUNCTION("""COMPUTED_VALUE"""),0)</f>
        <v>0</v>
      </c>
      <c r="I476" s="19">
        <f ca="1">IFERROR(__xludf.DUMMYFUNCTION("""COMPUTED_VALUE"""),45)</f>
        <v>45</v>
      </c>
      <c r="J476" s="19">
        <f ca="1">IFERROR(__xludf.DUMMYFUNCTION("""COMPUTED_VALUE"""),0)</f>
        <v>0</v>
      </c>
      <c r="K476" s="20">
        <f ca="1">IFERROR(__xludf.DUMMYFUNCTION("""COMPUTED_VALUE"""),65)</f>
        <v>65</v>
      </c>
      <c r="L476" s="20">
        <f ca="1">IFERROR(__xludf.DUMMYFUNCTION("""COMPUTED_VALUE"""),0)</f>
        <v>0</v>
      </c>
      <c r="M476" s="21">
        <f ca="1">IFERROR(__xludf.DUMMYFUNCTION("""COMPUTED_VALUE"""),50)</f>
        <v>50</v>
      </c>
      <c r="N476" s="21">
        <f ca="1">IFERROR(__xludf.DUMMYFUNCTION("""COMPUTED_VALUE"""),0)</f>
        <v>0</v>
      </c>
      <c r="O476" s="22">
        <f ca="1">IFERROR(__xludf.DUMMYFUNCTION("""COMPUTED_VALUE"""),55)</f>
        <v>55</v>
      </c>
      <c r="P476" s="22">
        <f ca="1">IFERROR(__xludf.DUMMYFUNCTION("""COMPUTED_VALUE"""),0)</f>
        <v>0</v>
      </c>
      <c r="Q476" s="23">
        <f ca="1">IFERROR(__xludf.DUMMYFUNCTION("""COMPUTED_VALUE"""),350)</f>
        <v>350</v>
      </c>
      <c r="R476" s="23">
        <f ca="1">IFERROR(__xludf.DUMMYFUNCTION("""COMPUTED_VALUE"""),0)</f>
        <v>0</v>
      </c>
      <c r="S476" s="24" t="str">
        <f ca="1">IFERROR(__xludf.DUMMYFUNCTION("""COMPUTED_VALUE"""),"Intimidate")</f>
        <v>Intimidate</v>
      </c>
      <c r="T476" s="24" t="str">
        <f ca="1">IFERROR(__xludf.DUMMYFUNCTION("""COMPUTED_VALUE"""),"Rock Head")</f>
        <v>Rock Head</v>
      </c>
      <c r="U476" s="24" t="str">
        <f ca="1">IFERROR(__xludf.DUMMYFUNCTION("""COMPUTED_VALUE"""),"Fur Coat")</f>
        <v>Fur Coat</v>
      </c>
      <c r="V476" s="25"/>
      <c r="W476" s="25"/>
      <c r="X476" s="25"/>
      <c r="Y476" s="25" t="str">
        <f ca="1">IFERROR(__xludf.DUMMYFUNCTION("""COMPUTED_VALUE"""),"Marmaro Island (wild)")</f>
        <v>Marmaro Island (wild)</v>
      </c>
    </row>
    <row r="477" spans="1:25" x14ac:dyDescent="0.25">
      <c r="A477" s="25" t="str">
        <f ca="1">IFERROR(__xludf.DUMMYFUNCTION("""COMPUTED_VALUE"""),"Hisuian Arcanine")</f>
        <v>Hisuian Arcanine</v>
      </c>
      <c r="B477" s="27">
        <f ca="1">IFERROR(__xludf.DUMMYFUNCTION("""COMPUTED_VALUE"""),377)</f>
        <v>377</v>
      </c>
      <c r="C477" s="26" t="str">
        <f ca="1">IFERROR(__xludf.DUMMYFUNCTION("""COMPUTED_VALUE"""),"Fire")</f>
        <v>Fire</v>
      </c>
      <c r="D477" s="3" t="str">
        <f ca="1">IFERROR(__xludf.DUMMYFUNCTION("""COMPUTED_VALUE"""),"Rock")</f>
        <v>Rock</v>
      </c>
      <c r="E477" s="17">
        <f ca="1">IFERROR(__xludf.DUMMYFUNCTION("""COMPUTED_VALUE"""),95)</f>
        <v>95</v>
      </c>
      <c r="F477" s="17">
        <f ca="1">IFERROR(__xludf.DUMMYFUNCTION("""COMPUTED_VALUE"""),0)</f>
        <v>0</v>
      </c>
      <c r="G477" s="18">
        <f ca="1">IFERROR(__xludf.DUMMYFUNCTION("""COMPUTED_VALUE"""),115)</f>
        <v>115</v>
      </c>
      <c r="H477" s="18">
        <f ca="1">IFERROR(__xludf.DUMMYFUNCTION("""COMPUTED_VALUE"""),0)</f>
        <v>0</v>
      </c>
      <c r="I477" s="19">
        <f ca="1">IFERROR(__xludf.DUMMYFUNCTION("""COMPUTED_VALUE"""),80)</f>
        <v>80</v>
      </c>
      <c r="J477" s="19">
        <f ca="1">IFERROR(__xludf.DUMMYFUNCTION("""COMPUTED_VALUE"""),0)</f>
        <v>0</v>
      </c>
      <c r="K477" s="20">
        <f ca="1">IFERROR(__xludf.DUMMYFUNCTION("""COMPUTED_VALUE"""),95)</f>
        <v>95</v>
      </c>
      <c r="L477" s="20">
        <f ca="1">IFERROR(__xludf.DUMMYFUNCTION("""COMPUTED_VALUE"""),0)</f>
        <v>0</v>
      </c>
      <c r="M477" s="21">
        <f ca="1">IFERROR(__xludf.DUMMYFUNCTION("""COMPUTED_VALUE"""),80)</f>
        <v>80</v>
      </c>
      <c r="N477" s="21">
        <f ca="1">IFERROR(__xludf.DUMMYFUNCTION("""COMPUTED_VALUE"""),0)</f>
        <v>0</v>
      </c>
      <c r="O477" s="22">
        <f ca="1">IFERROR(__xludf.DUMMYFUNCTION("""COMPUTED_VALUE"""),90)</f>
        <v>90</v>
      </c>
      <c r="P477" s="22">
        <f ca="1">IFERROR(__xludf.DUMMYFUNCTION("""COMPUTED_VALUE"""),0)</f>
        <v>0</v>
      </c>
      <c r="Q477" s="23">
        <f ca="1">IFERROR(__xludf.DUMMYFUNCTION("""COMPUTED_VALUE"""),555)</f>
        <v>555</v>
      </c>
      <c r="R477" s="23">
        <f ca="1">IFERROR(__xludf.DUMMYFUNCTION("""COMPUTED_VALUE"""),0)</f>
        <v>0</v>
      </c>
      <c r="S477" s="24" t="str">
        <f ca="1">IFERROR(__xludf.DUMMYFUNCTION("""COMPUTED_VALUE"""),"Intimidate")</f>
        <v>Intimidate</v>
      </c>
      <c r="T477" s="24" t="str">
        <f ca="1">IFERROR(__xludf.DUMMYFUNCTION("""COMPUTED_VALUE"""),"Rock Head")</f>
        <v>Rock Head</v>
      </c>
      <c r="U477" s="24" t="str">
        <f ca="1">IFERROR(__xludf.DUMMYFUNCTION("""COMPUTED_VALUE"""),"Fur Coat")</f>
        <v>Fur Coat</v>
      </c>
      <c r="V477" s="25" t="str">
        <f ca="1">IFERROR(__xludf.DUMMYFUNCTION("""COMPUTED_VALUE"""),"Fire Stone")</f>
        <v>Fire Stone</v>
      </c>
      <c r="W477" s="25"/>
      <c r="X477" s="25"/>
      <c r="Y477" s="25" t="str">
        <f ca="1">IFERROR(__xludf.DUMMYFUNCTION("""COMPUTED_VALUE"""),"Hisuian Growlithe (evolve)")</f>
        <v>Hisuian Growlithe (evolve)</v>
      </c>
    </row>
    <row r="478" spans="1:25" x14ac:dyDescent="0.25">
      <c r="A478" s="25" t="str">
        <f ca="1">IFERROR(__xludf.DUMMYFUNCTION("""COMPUTED_VALUE"""),"Hisuian Braviary")</f>
        <v>Hisuian Braviary</v>
      </c>
      <c r="B478" s="27">
        <f ca="1">IFERROR(__xludf.DUMMYFUNCTION("""COMPUTED_VALUE"""),386)</f>
        <v>386</v>
      </c>
      <c r="C478" s="26" t="str">
        <f ca="1">IFERROR(__xludf.DUMMYFUNCTION("""COMPUTED_VALUE"""),"Psychic")</f>
        <v>Psychic</v>
      </c>
      <c r="D478" s="3" t="str">
        <f ca="1">IFERROR(__xludf.DUMMYFUNCTION("""COMPUTED_VALUE"""),"Flying")</f>
        <v>Flying</v>
      </c>
      <c r="E478" s="17">
        <f ca="1">IFERROR(__xludf.DUMMYFUNCTION("""COMPUTED_VALUE"""),110)</f>
        <v>110</v>
      </c>
      <c r="F478" s="17">
        <f ca="1">IFERROR(__xludf.DUMMYFUNCTION("""COMPUTED_VALUE"""),0)</f>
        <v>0</v>
      </c>
      <c r="G478" s="18">
        <f ca="1">IFERROR(__xludf.DUMMYFUNCTION("""COMPUTED_VALUE"""),83)</f>
        <v>83</v>
      </c>
      <c r="H478" s="18">
        <f ca="1">IFERROR(__xludf.DUMMYFUNCTION("""COMPUTED_VALUE"""),0)</f>
        <v>0</v>
      </c>
      <c r="I478" s="19">
        <f ca="1">IFERROR(__xludf.DUMMYFUNCTION("""COMPUTED_VALUE"""),70)</f>
        <v>70</v>
      </c>
      <c r="J478" s="19">
        <f ca="1">IFERROR(__xludf.DUMMYFUNCTION("""COMPUTED_VALUE"""),0)</f>
        <v>0</v>
      </c>
      <c r="K478" s="20">
        <f ca="1">IFERROR(__xludf.DUMMYFUNCTION("""COMPUTED_VALUE"""),112)</f>
        <v>112</v>
      </c>
      <c r="L478" s="20">
        <f ca="1">IFERROR(__xludf.DUMMYFUNCTION("""COMPUTED_VALUE"""),0)</f>
        <v>0</v>
      </c>
      <c r="M478" s="21">
        <f ca="1">IFERROR(__xludf.DUMMYFUNCTION("""COMPUTED_VALUE"""),70)</f>
        <v>70</v>
      </c>
      <c r="N478" s="21">
        <f ca="1">IFERROR(__xludf.DUMMYFUNCTION("""COMPUTED_VALUE"""),0)</f>
        <v>0</v>
      </c>
      <c r="O478" s="22">
        <f ca="1">IFERROR(__xludf.DUMMYFUNCTION("""COMPUTED_VALUE"""),65)</f>
        <v>65</v>
      </c>
      <c r="P478" s="22">
        <f ca="1">IFERROR(__xludf.DUMMYFUNCTION("""COMPUTED_VALUE"""),0)</f>
        <v>0</v>
      </c>
      <c r="Q478" s="23">
        <f ca="1">IFERROR(__xludf.DUMMYFUNCTION("""COMPUTED_VALUE"""),510)</f>
        <v>510</v>
      </c>
      <c r="R478" s="23">
        <f ca="1">IFERROR(__xludf.DUMMYFUNCTION("""COMPUTED_VALUE"""),0)</f>
        <v>0</v>
      </c>
      <c r="S478" s="24" t="str">
        <f ca="1">IFERROR(__xludf.DUMMYFUNCTION("""COMPUTED_VALUE"""),"Tinted Lens")</f>
        <v>Tinted Lens</v>
      </c>
      <c r="T478" s="24" t="str">
        <f ca="1">IFERROR(__xludf.DUMMYFUNCTION("""COMPUTED_VALUE"""),"Sheer Force")</f>
        <v>Sheer Force</v>
      </c>
      <c r="U478" s="24" t="str">
        <f ca="1">IFERROR(__xludf.DUMMYFUNCTION("""COMPUTED_VALUE"""),"Fluffy")</f>
        <v>Fluffy</v>
      </c>
      <c r="V478" s="25" t="str">
        <f ca="1">IFERROR(__xludf.DUMMYFUNCTION("""COMPUTED_VALUE"""),"Lv. 34, Night")</f>
        <v>Lv. 34, Night</v>
      </c>
      <c r="W478" s="25"/>
      <c r="X478" s="25"/>
      <c r="Y478" s="25" t="str">
        <f ca="1">IFERROR(__xludf.DUMMYFUNCTION("""COMPUTED_VALUE"""),"Corrin Crossing (wild)")</f>
        <v>Corrin Crossing (wild)</v>
      </c>
    </row>
    <row r="479" spans="1:25" x14ac:dyDescent="0.25">
      <c r="A479" s="25" t="str">
        <f ca="1">IFERROR(__xludf.DUMMYFUNCTION("""COMPUTED_VALUE"""),"Ogerpon Cornerstone")</f>
        <v>Ogerpon Cornerstone</v>
      </c>
      <c r="B479" s="27">
        <f ca="1">IFERROR(__xludf.DUMMYFUNCTION("""COMPUTED_VALUE"""),430)</f>
        <v>430</v>
      </c>
      <c r="C479" s="26" t="str">
        <f ca="1">IFERROR(__xludf.DUMMYFUNCTION("""COMPUTED_VALUE"""),"Grass")</f>
        <v>Grass</v>
      </c>
      <c r="D479" s="3" t="str">
        <f ca="1">IFERROR(__xludf.DUMMYFUNCTION("""COMPUTED_VALUE"""),"Rock")</f>
        <v>Rock</v>
      </c>
      <c r="E479" s="17">
        <f ca="1">IFERROR(__xludf.DUMMYFUNCTION("""COMPUTED_VALUE"""),80)</f>
        <v>80</v>
      </c>
      <c r="F479" s="17">
        <f ca="1">IFERROR(__xludf.DUMMYFUNCTION("""COMPUTED_VALUE"""),0)</f>
        <v>0</v>
      </c>
      <c r="G479" s="18">
        <f ca="1">IFERROR(__xludf.DUMMYFUNCTION("""COMPUTED_VALUE"""),120)</f>
        <v>120</v>
      </c>
      <c r="H479" s="18">
        <f ca="1">IFERROR(__xludf.DUMMYFUNCTION("""COMPUTED_VALUE"""),0)</f>
        <v>0</v>
      </c>
      <c r="I479" s="19">
        <f ca="1">IFERROR(__xludf.DUMMYFUNCTION("""COMPUTED_VALUE"""),84)</f>
        <v>84</v>
      </c>
      <c r="J479" s="19">
        <f ca="1">IFERROR(__xludf.DUMMYFUNCTION("""COMPUTED_VALUE"""),0)</f>
        <v>0</v>
      </c>
      <c r="K479" s="20">
        <f ca="1">IFERROR(__xludf.DUMMYFUNCTION("""COMPUTED_VALUE"""),60)</f>
        <v>60</v>
      </c>
      <c r="L479" s="20">
        <f ca="1">IFERROR(__xludf.DUMMYFUNCTION("""COMPUTED_VALUE"""),0)</f>
        <v>0</v>
      </c>
      <c r="M479" s="21">
        <f ca="1">IFERROR(__xludf.DUMMYFUNCTION("""COMPUTED_VALUE"""),96)</f>
        <v>96</v>
      </c>
      <c r="N479" s="21">
        <f ca="1">IFERROR(__xludf.DUMMYFUNCTION("""COMPUTED_VALUE"""),0)</f>
        <v>0</v>
      </c>
      <c r="O479" s="22">
        <f ca="1">IFERROR(__xludf.DUMMYFUNCTION("""COMPUTED_VALUE"""),110)</f>
        <v>110</v>
      </c>
      <c r="P479" s="22">
        <f ca="1">IFERROR(__xludf.DUMMYFUNCTION("""COMPUTED_VALUE"""),0)</f>
        <v>0</v>
      </c>
      <c r="Q479" s="23">
        <f ca="1">IFERROR(__xludf.DUMMYFUNCTION("""COMPUTED_VALUE"""),550)</f>
        <v>550</v>
      </c>
      <c r="R479" s="23">
        <f ca="1">IFERROR(__xludf.DUMMYFUNCTION("""COMPUTED_VALUE"""),0)</f>
        <v>0</v>
      </c>
      <c r="S479" s="24" t="str">
        <f ca="1">IFERROR(__xludf.DUMMYFUNCTION("""COMPUTED_VALUE"""),"Sturdy")</f>
        <v>Sturdy</v>
      </c>
      <c r="T479" s="25"/>
      <c r="U479" s="24" t="str">
        <f ca="1">IFERROR(__xludf.DUMMYFUNCTION("""COMPUTED_VALUE"""),"Embody Aspect (Def)")</f>
        <v>Embody Aspect (Def)</v>
      </c>
      <c r="V479" s="25"/>
      <c r="W479" s="25"/>
      <c r="X479" s="25"/>
      <c r="Y479" s="25" t="str">
        <f ca="1">IFERROR(__xludf.DUMMYFUNCTION("""COMPUTED_VALUE"""),"? (PC Code)")</f>
        <v>? (PC Code)</v>
      </c>
    </row>
    <row r="480" spans="1:25" x14ac:dyDescent="0.25">
      <c r="A480" s="25" t="str">
        <f ca="1">IFERROR(__xludf.DUMMYFUNCTION("""COMPUTED_VALUE"""),"Ogerpon Hearthflame")</f>
        <v>Ogerpon Hearthflame</v>
      </c>
      <c r="B480" s="27">
        <f ca="1">IFERROR(__xludf.DUMMYFUNCTION("""COMPUTED_VALUE"""),430)</f>
        <v>430</v>
      </c>
      <c r="C480" s="26" t="str">
        <f ca="1">IFERROR(__xludf.DUMMYFUNCTION("""COMPUTED_VALUE"""),"Grass")</f>
        <v>Grass</v>
      </c>
      <c r="D480" s="3" t="str">
        <f ca="1">IFERROR(__xludf.DUMMYFUNCTION("""COMPUTED_VALUE"""),"Fire")</f>
        <v>Fire</v>
      </c>
      <c r="E480" s="17">
        <f ca="1">IFERROR(__xludf.DUMMYFUNCTION("""COMPUTED_VALUE"""),80)</f>
        <v>80</v>
      </c>
      <c r="F480" s="17">
        <f ca="1">IFERROR(__xludf.DUMMYFUNCTION("""COMPUTED_VALUE"""),0)</f>
        <v>0</v>
      </c>
      <c r="G480" s="18">
        <f ca="1">IFERROR(__xludf.DUMMYFUNCTION("""COMPUTED_VALUE"""),120)</f>
        <v>120</v>
      </c>
      <c r="H480" s="18">
        <f ca="1">IFERROR(__xludf.DUMMYFUNCTION("""COMPUTED_VALUE"""),0)</f>
        <v>0</v>
      </c>
      <c r="I480" s="19">
        <f ca="1">IFERROR(__xludf.DUMMYFUNCTION("""COMPUTED_VALUE"""),84)</f>
        <v>84</v>
      </c>
      <c r="J480" s="19">
        <f ca="1">IFERROR(__xludf.DUMMYFUNCTION("""COMPUTED_VALUE"""),0)</f>
        <v>0</v>
      </c>
      <c r="K480" s="20">
        <f ca="1">IFERROR(__xludf.DUMMYFUNCTION("""COMPUTED_VALUE"""),60)</f>
        <v>60</v>
      </c>
      <c r="L480" s="20">
        <f ca="1">IFERROR(__xludf.DUMMYFUNCTION("""COMPUTED_VALUE"""),0)</f>
        <v>0</v>
      </c>
      <c r="M480" s="21">
        <f ca="1">IFERROR(__xludf.DUMMYFUNCTION("""COMPUTED_VALUE"""),96)</f>
        <v>96</v>
      </c>
      <c r="N480" s="21">
        <f ca="1">IFERROR(__xludf.DUMMYFUNCTION("""COMPUTED_VALUE"""),0)</f>
        <v>0</v>
      </c>
      <c r="O480" s="22">
        <f ca="1">IFERROR(__xludf.DUMMYFUNCTION("""COMPUTED_VALUE"""),110)</f>
        <v>110</v>
      </c>
      <c r="P480" s="22">
        <f ca="1">IFERROR(__xludf.DUMMYFUNCTION("""COMPUTED_VALUE"""),0)</f>
        <v>0</v>
      </c>
      <c r="Q480" s="23">
        <f ca="1">IFERROR(__xludf.DUMMYFUNCTION("""COMPUTED_VALUE"""),550)</f>
        <v>550</v>
      </c>
      <c r="R480" s="23">
        <f ca="1">IFERROR(__xludf.DUMMYFUNCTION("""COMPUTED_VALUE"""),0)</f>
        <v>0</v>
      </c>
      <c r="S480" s="24" t="str">
        <f ca="1">IFERROR(__xludf.DUMMYFUNCTION("""COMPUTED_VALUE"""),"Mold Breaker")</f>
        <v>Mold Breaker</v>
      </c>
      <c r="T480" s="25"/>
      <c r="U480" s="24" t="str">
        <f ca="1">IFERROR(__xludf.DUMMYFUNCTION("""COMPUTED_VALUE"""),"Embody Aspect (Atk)")</f>
        <v>Embody Aspect (Atk)</v>
      </c>
      <c r="V480" s="25"/>
      <c r="W480" s="25"/>
      <c r="X480" s="25"/>
      <c r="Y480" s="25" t="str">
        <f ca="1">IFERROR(__xludf.DUMMYFUNCTION("""COMPUTED_VALUE"""),"? (PC Code)")</f>
        <v>? (PC Code)</v>
      </c>
    </row>
    <row r="481" spans="1:25" x14ac:dyDescent="0.25">
      <c r="A481" s="25" t="str">
        <f ca="1">IFERROR(__xludf.DUMMYFUNCTION("""COMPUTED_VALUE"""),"Ogerpon Wellspring")</f>
        <v>Ogerpon Wellspring</v>
      </c>
      <c r="B481" s="27">
        <f ca="1">IFERROR(__xludf.DUMMYFUNCTION("""COMPUTED_VALUE"""),430)</f>
        <v>430</v>
      </c>
      <c r="C481" s="26" t="str">
        <f ca="1">IFERROR(__xludf.DUMMYFUNCTION("""COMPUTED_VALUE"""),"Grass")</f>
        <v>Grass</v>
      </c>
      <c r="D481" s="3" t="str">
        <f ca="1">IFERROR(__xludf.DUMMYFUNCTION("""COMPUTED_VALUE"""),"Water")</f>
        <v>Water</v>
      </c>
      <c r="E481" s="17">
        <f ca="1">IFERROR(__xludf.DUMMYFUNCTION("""COMPUTED_VALUE"""),80)</f>
        <v>80</v>
      </c>
      <c r="F481" s="17">
        <f ca="1">IFERROR(__xludf.DUMMYFUNCTION("""COMPUTED_VALUE"""),0)</f>
        <v>0</v>
      </c>
      <c r="G481" s="18">
        <f ca="1">IFERROR(__xludf.DUMMYFUNCTION("""COMPUTED_VALUE"""),120)</f>
        <v>120</v>
      </c>
      <c r="H481" s="18">
        <f ca="1">IFERROR(__xludf.DUMMYFUNCTION("""COMPUTED_VALUE"""),0)</f>
        <v>0</v>
      </c>
      <c r="I481" s="19">
        <f ca="1">IFERROR(__xludf.DUMMYFUNCTION("""COMPUTED_VALUE"""),84)</f>
        <v>84</v>
      </c>
      <c r="J481" s="19">
        <f ca="1">IFERROR(__xludf.DUMMYFUNCTION("""COMPUTED_VALUE"""),0)</f>
        <v>0</v>
      </c>
      <c r="K481" s="20">
        <f ca="1">IFERROR(__xludf.DUMMYFUNCTION("""COMPUTED_VALUE"""),60)</f>
        <v>60</v>
      </c>
      <c r="L481" s="20">
        <f ca="1">IFERROR(__xludf.DUMMYFUNCTION("""COMPUTED_VALUE"""),0)</f>
        <v>0</v>
      </c>
      <c r="M481" s="21">
        <f ca="1">IFERROR(__xludf.DUMMYFUNCTION("""COMPUTED_VALUE"""),96)</f>
        <v>96</v>
      </c>
      <c r="N481" s="21">
        <f ca="1">IFERROR(__xludf.DUMMYFUNCTION("""COMPUTED_VALUE"""),0)</f>
        <v>0</v>
      </c>
      <c r="O481" s="22">
        <f ca="1">IFERROR(__xludf.DUMMYFUNCTION("""COMPUTED_VALUE"""),110)</f>
        <v>110</v>
      </c>
      <c r="P481" s="22">
        <f ca="1">IFERROR(__xludf.DUMMYFUNCTION("""COMPUTED_VALUE"""),0)</f>
        <v>0</v>
      </c>
      <c r="Q481" s="23">
        <f ca="1">IFERROR(__xludf.DUMMYFUNCTION("""COMPUTED_VALUE"""),550)</f>
        <v>550</v>
      </c>
      <c r="R481" s="23">
        <f ca="1">IFERROR(__xludf.DUMMYFUNCTION("""COMPUTED_VALUE"""),0)</f>
        <v>0</v>
      </c>
      <c r="S481" s="24" t="str">
        <f ca="1">IFERROR(__xludf.DUMMYFUNCTION("""COMPUTED_VALUE"""),"Water Absorb")</f>
        <v>Water Absorb</v>
      </c>
      <c r="T481" s="25"/>
      <c r="U481" s="24" t="str">
        <f ca="1">IFERROR(__xludf.DUMMYFUNCTION("""COMPUTED_VALUE"""),"Embody Aspect (SpD)")</f>
        <v>Embody Aspect (SpD)</v>
      </c>
      <c r="V481" s="25"/>
      <c r="W481" s="25"/>
      <c r="X481" s="25"/>
      <c r="Y481" s="25" t="str">
        <f ca="1">IFERROR(__xludf.DUMMYFUNCTION("""COMPUTED_VALUE"""),"? (PC Code)")</f>
        <v>? (PC Code)</v>
      </c>
    </row>
    <row r="482" spans="1:25" x14ac:dyDescent="0.25">
      <c r="A482" s="25" t="str">
        <f ca="1">IFERROR(__xludf.DUMMYFUNCTION("""COMPUTED_VALUE"""),"Mega Chesnaught")</f>
        <v>Mega Chesnaught</v>
      </c>
      <c r="B482" s="27">
        <f ca="1">IFERROR(__xludf.DUMMYFUNCTION("""COMPUTED_VALUE"""),12)</f>
        <v>12</v>
      </c>
      <c r="C482" s="26" t="str">
        <f ca="1">IFERROR(__xludf.DUMMYFUNCTION("""COMPUTED_VALUE"""),"Grass")</f>
        <v>Grass</v>
      </c>
      <c r="D482" s="3" t="str">
        <f ca="1">IFERROR(__xludf.DUMMYFUNCTION("""COMPUTED_VALUE"""),"Fighting")</f>
        <v>Fighting</v>
      </c>
      <c r="E482" s="17">
        <f ca="1">IFERROR(__xludf.DUMMYFUNCTION("""COMPUTED_VALUE"""),88)</f>
        <v>88</v>
      </c>
      <c r="F482" s="17">
        <f ca="1">IFERROR(__xludf.DUMMYFUNCTION("""COMPUTED_VALUE"""),88)</f>
        <v>88</v>
      </c>
      <c r="G482" s="18">
        <f ca="1">IFERROR(__xludf.DUMMYFUNCTION("""COMPUTED_VALUE"""),137)</f>
        <v>137</v>
      </c>
      <c r="H482" s="18">
        <f ca="1">IFERROR(__xludf.DUMMYFUNCTION("""COMPUTED_VALUE"""),137)</f>
        <v>137</v>
      </c>
      <c r="I482" s="19">
        <f ca="1">IFERROR(__xludf.DUMMYFUNCTION("""COMPUTED_VALUE"""),172)</f>
        <v>172</v>
      </c>
      <c r="J482" s="19">
        <f ca="1">IFERROR(__xludf.DUMMYFUNCTION("""COMPUTED_VALUE"""),172)</f>
        <v>172</v>
      </c>
      <c r="K482" s="20">
        <f ca="1">IFERROR(__xludf.DUMMYFUNCTION("""COMPUTED_VALUE"""),79)</f>
        <v>79</v>
      </c>
      <c r="L482" s="20">
        <f ca="1">IFERROR(__xludf.DUMMYFUNCTION("""COMPUTED_VALUE"""),79)</f>
        <v>79</v>
      </c>
      <c r="M482" s="21">
        <f ca="1">IFERROR(__xludf.DUMMYFUNCTION("""COMPUTED_VALUE"""),95)</f>
        <v>95</v>
      </c>
      <c r="N482" s="21">
        <f ca="1">IFERROR(__xludf.DUMMYFUNCTION("""COMPUTED_VALUE"""),95)</f>
        <v>95</v>
      </c>
      <c r="O482" s="22">
        <f ca="1">IFERROR(__xludf.DUMMYFUNCTION("""COMPUTED_VALUE"""),64)</f>
        <v>64</v>
      </c>
      <c r="P482" s="22">
        <f ca="1">IFERROR(__xludf.DUMMYFUNCTION("""COMPUTED_VALUE"""),64)</f>
        <v>64</v>
      </c>
      <c r="Q482" s="23">
        <f ca="1">IFERROR(__xludf.DUMMYFUNCTION("""COMPUTED_VALUE"""),635)</f>
        <v>635</v>
      </c>
      <c r="R482" s="23">
        <f ca="1">IFERROR(__xludf.DUMMYFUNCTION("""COMPUTED_VALUE"""),635)</f>
        <v>635</v>
      </c>
      <c r="S482" s="25" t="str">
        <f ca="1">IFERROR(__xludf.DUMMYFUNCTION("""COMPUTED_VALUE"""),"Spiked Shell")</f>
        <v>Spiked Shell</v>
      </c>
      <c r="T482" s="25"/>
      <c r="U482" s="25"/>
      <c r="V482" s="25" t="str">
        <f ca="1">IFERROR(__xludf.DUMMYFUNCTION("""COMPUTED_VALUE"""),"Chesnaughtite")</f>
        <v>Chesnaughtite</v>
      </c>
      <c r="W482" s="25"/>
      <c r="X482" s="25"/>
      <c r="Y482" s="25"/>
    </row>
    <row r="483" spans="1:25" x14ac:dyDescent="0.25">
      <c r="A483" s="25" t="str">
        <f ca="1">IFERROR(__xludf.DUMMYFUNCTION("""COMPUTED_VALUE"""),"Mega Delphox")</f>
        <v>Mega Delphox</v>
      </c>
      <c r="B483" s="27">
        <f ca="1">IFERROR(__xludf.DUMMYFUNCTION("""COMPUTED_VALUE"""),15)</f>
        <v>15</v>
      </c>
      <c r="C483" s="26" t="str">
        <f ca="1">IFERROR(__xludf.DUMMYFUNCTION("""COMPUTED_VALUE"""),"Fire")</f>
        <v>Fire</v>
      </c>
      <c r="D483" s="3" t="str">
        <f ca="1">IFERROR(__xludf.DUMMYFUNCTION("""COMPUTED_VALUE"""),"Psychic")</f>
        <v>Psychic</v>
      </c>
      <c r="E483" s="17">
        <f ca="1">IFERROR(__xludf.DUMMYFUNCTION("""COMPUTED_VALUE"""),85)</f>
        <v>85</v>
      </c>
      <c r="F483" s="17">
        <f ca="1">IFERROR(__xludf.DUMMYFUNCTION("""COMPUTED_VALUE"""),85)</f>
        <v>85</v>
      </c>
      <c r="G483" s="18">
        <f ca="1">IFERROR(__xludf.DUMMYFUNCTION("""COMPUTED_VALUE"""),69)</f>
        <v>69</v>
      </c>
      <c r="H483" s="18">
        <f ca="1">IFERROR(__xludf.DUMMYFUNCTION("""COMPUTED_VALUE"""),69)</f>
        <v>69</v>
      </c>
      <c r="I483" s="19">
        <f ca="1">IFERROR(__xludf.DUMMYFUNCTION("""COMPUTED_VALUE"""),72)</f>
        <v>72</v>
      </c>
      <c r="J483" s="19">
        <f ca="1">IFERROR(__xludf.DUMMYFUNCTION("""COMPUTED_VALUE"""),72)</f>
        <v>72</v>
      </c>
      <c r="K483" s="20">
        <f ca="1">IFERROR(__xludf.DUMMYFUNCTION("""COMPUTED_VALUE"""),149)</f>
        <v>149</v>
      </c>
      <c r="L483" s="20">
        <f ca="1">IFERROR(__xludf.DUMMYFUNCTION("""COMPUTED_VALUE"""),149)</f>
        <v>149</v>
      </c>
      <c r="M483" s="21">
        <f ca="1">IFERROR(__xludf.DUMMYFUNCTION("""COMPUTED_VALUE"""),120)</f>
        <v>120</v>
      </c>
      <c r="N483" s="21">
        <f ca="1">IFERROR(__xludf.DUMMYFUNCTION("""COMPUTED_VALUE"""),120)</f>
        <v>120</v>
      </c>
      <c r="O483" s="22">
        <f ca="1">IFERROR(__xludf.DUMMYFUNCTION("""COMPUTED_VALUE"""),129)</f>
        <v>129</v>
      </c>
      <c r="P483" s="22">
        <f ca="1">IFERROR(__xludf.DUMMYFUNCTION("""COMPUTED_VALUE"""),129)</f>
        <v>129</v>
      </c>
      <c r="Q483" s="23">
        <f ca="1">IFERROR(__xludf.DUMMYFUNCTION("""COMPUTED_VALUE"""),624)</f>
        <v>624</v>
      </c>
      <c r="R483" s="23">
        <f ca="1">IFERROR(__xludf.DUMMYFUNCTION("""COMPUTED_VALUE"""),624)</f>
        <v>624</v>
      </c>
      <c r="S483" s="25" t="str">
        <f ca="1">IFERROR(__xludf.DUMMYFUNCTION("""COMPUTED_VALUE"""),"Levitate")</f>
        <v>Levitate</v>
      </c>
      <c r="T483" s="25"/>
      <c r="U483" s="25"/>
      <c r="V483" s="25" t="str">
        <f ca="1">IFERROR(__xludf.DUMMYFUNCTION("""COMPUTED_VALUE"""),"Delphoxite")</f>
        <v>Delphoxite</v>
      </c>
      <c r="W483" s="25"/>
      <c r="X483" s="25"/>
      <c r="Y483" s="25"/>
    </row>
    <row r="484" spans="1:25" x14ac:dyDescent="0.25">
      <c r="A484" s="25" t="str">
        <f ca="1">IFERROR(__xludf.DUMMYFUNCTION("""COMPUTED_VALUE"""),"Mega Greninja")</f>
        <v>Mega Greninja</v>
      </c>
      <c r="B484" s="27">
        <f ca="1">IFERROR(__xludf.DUMMYFUNCTION("""COMPUTED_VALUE"""),18)</f>
        <v>18</v>
      </c>
      <c r="C484" s="26" t="str">
        <f ca="1">IFERROR(__xludf.DUMMYFUNCTION("""COMPUTED_VALUE"""),"Water")</f>
        <v>Water</v>
      </c>
      <c r="D484" s="3" t="str">
        <f ca="1">IFERROR(__xludf.DUMMYFUNCTION("""COMPUTED_VALUE"""),"Dark")</f>
        <v>Dark</v>
      </c>
      <c r="E484" s="17">
        <f ca="1">IFERROR(__xludf.DUMMYFUNCTION("""COMPUTED_VALUE"""),72)</f>
        <v>72</v>
      </c>
      <c r="F484" s="17">
        <f ca="1">IFERROR(__xludf.DUMMYFUNCTION("""COMPUTED_VALUE"""),72)</f>
        <v>72</v>
      </c>
      <c r="G484" s="18">
        <f ca="1">IFERROR(__xludf.DUMMYFUNCTION("""COMPUTED_VALUE"""),125)</f>
        <v>125</v>
      </c>
      <c r="H484" s="18">
        <f ca="1">IFERROR(__xludf.DUMMYFUNCTION("""COMPUTED_VALUE"""),125)</f>
        <v>125</v>
      </c>
      <c r="I484" s="19">
        <f ca="1">IFERROR(__xludf.DUMMYFUNCTION("""COMPUTED_VALUE"""),77)</f>
        <v>77</v>
      </c>
      <c r="J484" s="19">
        <f ca="1">IFERROR(__xludf.DUMMYFUNCTION("""COMPUTED_VALUE"""),77)</f>
        <v>77</v>
      </c>
      <c r="K484" s="20">
        <f ca="1">IFERROR(__xludf.DUMMYFUNCTION("""COMPUTED_VALUE"""),133)</f>
        <v>133</v>
      </c>
      <c r="L484" s="20">
        <f ca="1">IFERROR(__xludf.DUMMYFUNCTION("""COMPUTED_VALUE"""),133)</f>
        <v>133</v>
      </c>
      <c r="M484" s="21">
        <f ca="1">IFERROR(__xludf.DUMMYFUNCTION("""COMPUTED_VALUE"""),81)</f>
        <v>81</v>
      </c>
      <c r="N484" s="21">
        <f ca="1">IFERROR(__xludf.DUMMYFUNCTION("""COMPUTED_VALUE"""),81)</f>
        <v>81</v>
      </c>
      <c r="O484" s="22">
        <f ca="1">IFERROR(__xludf.DUMMYFUNCTION("""COMPUTED_VALUE"""),142)</f>
        <v>142</v>
      </c>
      <c r="P484" s="22">
        <f ca="1">IFERROR(__xludf.DUMMYFUNCTION("""COMPUTED_VALUE"""),142)</f>
        <v>142</v>
      </c>
      <c r="Q484" s="23">
        <f ca="1">IFERROR(__xludf.DUMMYFUNCTION("""COMPUTED_VALUE"""),630)</f>
        <v>630</v>
      </c>
      <c r="R484" s="23">
        <f ca="1">IFERROR(__xludf.DUMMYFUNCTION("""COMPUTED_VALUE"""),630)</f>
        <v>630</v>
      </c>
      <c r="S484" s="25" t="str">
        <f ca="1">IFERROR(__xludf.DUMMYFUNCTION("""COMPUTED_VALUE"""),"Skill Link")</f>
        <v>Skill Link</v>
      </c>
      <c r="T484" s="25"/>
      <c r="U484" s="25"/>
      <c r="V484" s="25" t="str">
        <f ca="1">IFERROR(__xludf.DUMMYFUNCTION("""COMPUTED_VALUE"""),"Greninjite")</f>
        <v>Greninjite</v>
      </c>
      <c r="W484" s="25"/>
      <c r="X484" s="25"/>
      <c r="Y484" s="25"/>
    </row>
    <row r="485" spans="1:25" x14ac:dyDescent="0.25">
      <c r="A485" s="25" t="str">
        <f ca="1">IFERROR(__xludf.DUMMYFUNCTION("""COMPUTED_VALUE"""),"Mega Toucannon")</f>
        <v>Mega Toucannon</v>
      </c>
      <c r="B485" s="27">
        <f ca="1">IFERROR(__xludf.DUMMYFUNCTION("""COMPUTED_VALUE"""),39)</f>
        <v>39</v>
      </c>
      <c r="C485" s="26" t="str">
        <f ca="1">IFERROR(__xludf.DUMMYFUNCTION("""COMPUTED_VALUE"""),"Fire")</f>
        <v>Fire</v>
      </c>
      <c r="D485" s="3" t="str">
        <f ca="1">IFERROR(__xludf.DUMMYFUNCTION("""COMPUTED_VALUE"""),"Flying")</f>
        <v>Flying</v>
      </c>
      <c r="E485" s="17">
        <f ca="1">IFERROR(__xludf.DUMMYFUNCTION("""COMPUTED_VALUE"""),80)</f>
        <v>80</v>
      </c>
      <c r="F485" s="17">
        <f ca="1">IFERROR(__xludf.DUMMYFUNCTION("""COMPUTED_VALUE"""),80)</f>
        <v>80</v>
      </c>
      <c r="G485" s="18">
        <f ca="1">IFERROR(__xludf.DUMMYFUNCTION("""COMPUTED_VALUE"""),140)</f>
        <v>140</v>
      </c>
      <c r="H485" s="18">
        <f ca="1">IFERROR(__xludf.DUMMYFUNCTION("""COMPUTED_VALUE"""),140)</f>
        <v>140</v>
      </c>
      <c r="I485" s="19">
        <f ca="1">IFERROR(__xludf.DUMMYFUNCTION("""COMPUTED_VALUE"""),95)</f>
        <v>95</v>
      </c>
      <c r="J485" s="19">
        <f ca="1">IFERROR(__xludf.DUMMYFUNCTION("""COMPUTED_VALUE"""),95)</f>
        <v>95</v>
      </c>
      <c r="K485" s="20">
        <f ca="1">IFERROR(__xludf.DUMMYFUNCTION("""COMPUTED_VALUE"""),95)</f>
        <v>95</v>
      </c>
      <c r="L485" s="20">
        <f ca="1">IFERROR(__xludf.DUMMYFUNCTION("""COMPUTED_VALUE"""),95)</f>
        <v>95</v>
      </c>
      <c r="M485" s="21">
        <f ca="1">IFERROR(__xludf.DUMMYFUNCTION("""COMPUTED_VALUE"""),95)</f>
        <v>95</v>
      </c>
      <c r="N485" s="21">
        <f ca="1">IFERROR(__xludf.DUMMYFUNCTION("""COMPUTED_VALUE"""),95)</f>
        <v>95</v>
      </c>
      <c r="O485" s="22">
        <f ca="1">IFERROR(__xludf.DUMMYFUNCTION("""COMPUTED_VALUE"""),80)</f>
        <v>80</v>
      </c>
      <c r="P485" s="22">
        <f ca="1">IFERROR(__xludf.DUMMYFUNCTION("""COMPUTED_VALUE"""),80)</f>
        <v>80</v>
      </c>
      <c r="Q485" s="23">
        <f ca="1">IFERROR(__xludf.DUMMYFUNCTION("""COMPUTED_VALUE"""),585)</f>
        <v>585</v>
      </c>
      <c r="R485" s="23">
        <f ca="1">IFERROR(__xludf.DUMMYFUNCTION("""COMPUTED_VALUE"""),585)</f>
        <v>585</v>
      </c>
      <c r="S485" s="25" t="str">
        <f ca="1">IFERROR(__xludf.DUMMYFUNCTION("""COMPUTED_VALUE"""),"Parental Bond")</f>
        <v>Parental Bond</v>
      </c>
      <c r="T485" s="25"/>
      <c r="U485" s="25"/>
      <c r="V485" s="25" t="str">
        <f ca="1">IFERROR(__xludf.DUMMYFUNCTION("""COMPUTED_VALUE"""),"Toucannonite")</f>
        <v>Toucannonite</v>
      </c>
      <c r="W485" s="25"/>
      <c r="X485" s="25" t="str">
        <f ca="1">IFERROR(__xludf.DUMMYFUNCTION("""COMPUTED_VALUE"""),"Rawst Berry")</f>
        <v>Rawst Berry</v>
      </c>
      <c r="Y485" s="25"/>
    </row>
    <row r="486" spans="1:25" x14ac:dyDescent="0.25">
      <c r="A486" s="25" t="str">
        <f ca="1">IFERROR(__xludf.DUMMYFUNCTION("""COMPUTED_VALUE"""),"Mega Ampharos")</f>
        <v>Mega Ampharos</v>
      </c>
      <c r="B486" s="27">
        <f ca="1">IFERROR(__xludf.DUMMYFUNCTION("""COMPUTED_VALUE"""),63)</f>
        <v>63</v>
      </c>
      <c r="C486" s="26" t="str">
        <f ca="1">IFERROR(__xludf.DUMMYFUNCTION("""COMPUTED_VALUE"""),"Electric")</f>
        <v>Electric</v>
      </c>
      <c r="D486" s="3" t="str">
        <f ca="1">IFERROR(__xludf.DUMMYFUNCTION("""COMPUTED_VALUE"""),"Dragon")</f>
        <v>Dragon</v>
      </c>
      <c r="E486" s="17">
        <f ca="1">IFERROR(__xludf.DUMMYFUNCTION("""COMPUTED_VALUE"""),90)</f>
        <v>90</v>
      </c>
      <c r="F486" s="17">
        <f ca="1">IFERROR(__xludf.DUMMYFUNCTION("""COMPUTED_VALUE"""),0)</f>
        <v>0</v>
      </c>
      <c r="G486" s="18">
        <f ca="1">IFERROR(__xludf.DUMMYFUNCTION("""COMPUTED_VALUE"""),95)</f>
        <v>95</v>
      </c>
      <c r="H486" s="18">
        <f ca="1">IFERROR(__xludf.DUMMYFUNCTION("""COMPUTED_VALUE"""),0)</f>
        <v>0</v>
      </c>
      <c r="I486" s="19">
        <f ca="1">IFERROR(__xludf.DUMMYFUNCTION("""COMPUTED_VALUE"""),105)</f>
        <v>105</v>
      </c>
      <c r="J486" s="19">
        <f ca="1">IFERROR(__xludf.DUMMYFUNCTION("""COMPUTED_VALUE"""),0)</f>
        <v>0</v>
      </c>
      <c r="K486" s="20">
        <f ca="1">IFERROR(__xludf.DUMMYFUNCTION("""COMPUTED_VALUE"""),165)</f>
        <v>165</v>
      </c>
      <c r="L486" s="20">
        <f ca="1">IFERROR(__xludf.DUMMYFUNCTION("""COMPUTED_VALUE"""),0)</f>
        <v>0</v>
      </c>
      <c r="M486" s="21">
        <f ca="1">IFERROR(__xludf.DUMMYFUNCTION("""COMPUTED_VALUE"""),110)</f>
        <v>110</v>
      </c>
      <c r="N486" s="21">
        <f ca="1">IFERROR(__xludf.DUMMYFUNCTION("""COMPUTED_VALUE"""),0)</f>
        <v>0</v>
      </c>
      <c r="O486" s="22">
        <f ca="1">IFERROR(__xludf.DUMMYFUNCTION("""COMPUTED_VALUE"""),45)</f>
        <v>45</v>
      </c>
      <c r="P486" s="22">
        <f ca="1">IFERROR(__xludf.DUMMYFUNCTION("""COMPUTED_VALUE"""),0)</f>
        <v>0</v>
      </c>
      <c r="Q486" s="23">
        <f ca="1">IFERROR(__xludf.DUMMYFUNCTION("""COMPUTED_VALUE"""),610)</f>
        <v>610</v>
      </c>
      <c r="R486" s="23">
        <f ca="1">IFERROR(__xludf.DUMMYFUNCTION("""COMPUTED_VALUE"""),0)</f>
        <v>0</v>
      </c>
      <c r="S486" s="25" t="str">
        <f ca="1">IFERROR(__xludf.DUMMYFUNCTION("""COMPUTED_VALUE"""),"Mold Breaker")</f>
        <v>Mold Breaker</v>
      </c>
      <c r="T486" s="25"/>
      <c r="U486" s="25"/>
      <c r="V486" s="25" t="str">
        <f ca="1">IFERROR(__xludf.DUMMYFUNCTION("""COMPUTED_VALUE"""),"Ampharosite")</f>
        <v>Ampharosite</v>
      </c>
      <c r="W486" s="25"/>
      <c r="X486" s="25"/>
      <c r="Y486" s="25"/>
    </row>
    <row r="487" spans="1:25" x14ac:dyDescent="0.25">
      <c r="A487" s="25" t="str">
        <f ca="1">IFERROR(__xludf.DUMMYFUNCTION("""COMPUTED_VALUE"""),"Mega Ribombee")</f>
        <v>Mega Ribombee</v>
      </c>
      <c r="B487" s="27">
        <f ca="1">IFERROR(__xludf.DUMMYFUNCTION("""COMPUTED_VALUE"""),70)</f>
        <v>70</v>
      </c>
      <c r="C487" s="26" t="str">
        <f ca="1">IFERROR(__xludf.DUMMYFUNCTION("""COMPUTED_VALUE"""),"Bug")</f>
        <v>Bug</v>
      </c>
      <c r="D487" s="3" t="str">
        <f ca="1">IFERROR(__xludf.DUMMYFUNCTION("""COMPUTED_VALUE"""),"Fairy")</f>
        <v>Fairy</v>
      </c>
      <c r="E487" s="17">
        <f ca="1">IFERROR(__xludf.DUMMYFUNCTION("""COMPUTED_VALUE"""),60)</f>
        <v>60</v>
      </c>
      <c r="F487" s="17">
        <f ca="1">IFERROR(__xludf.DUMMYFUNCTION("""COMPUTED_VALUE"""),60)</f>
        <v>60</v>
      </c>
      <c r="G487" s="18">
        <f ca="1">IFERROR(__xludf.DUMMYFUNCTION("""COMPUTED_VALUE"""),60)</f>
        <v>60</v>
      </c>
      <c r="H487" s="18">
        <f ca="1">IFERROR(__xludf.DUMMYFUNCTION("""COMPUTED_VALUE"""),60)</f>
        <v>60</v>
      </c>
      <c r="I487" s="19">
        <f ca="1">IFERROR(__xludf.DUMMYFUNCTION("""COMPUTED_VALUE"""),65)</f>
        <v>65</v>
      </c>
      <c r="J487" s="19">
        <f ca="1">IFERROR(__xludf.DUMMYFUNCTION("""COMPUTED_VALUE"""),65)</f>
        <v>65</v>
      </c>
      <c r="K487" s="20">
        <f ca="1">IFERROR(__xludf.DUMMYFUNCTION("""COMPUTED_VALUE"""),145)</f>
        <v>145</v>
      </c>
      <c r="L487" s="20">
        <f ca="1">IFERROR(__xludf.DUMMYFUNCTION("""COMPUTED_VALUE"""),145)</f>
        <v>145</v>
      </c>
      <c r="M487" s="21">
        <f ca="1">IFERROR(__xludf.DUMMYFUNCTION("""COMPUTED_VALUE"""),95)</f>
        <v>95</v>
      </c>
      <c r="N487" s="21">
        <f ca="1">IFERROR(__xludf.DUMMYFUNCTION("""COMPUTED_VALUE"""),95)</f>
        <v>95</v>
      </c>
      <c r="O487" s="22">
        <f ca="1">IFERROR(__xludf.DUMMYFUNCTION("""COMPUTED_VALUE"""),139)</f>
        <v>139</v>
      </c>
      <c r="P487" s="22">
        <f ca="1">IFERROR(__xludf.DUMMYFUNCTION("""COMPUTED_VALUE"""),139)</f>
        <v>139</v>
      </c>
      <c r="Q487" s="23">
        <f ca="1">IFERROR(__xludf.DUMMYFUNCTION("""COMPUTED_VALUE"""),564)</f>
        <v>564</v>
      </c>
      <c r="R487" s="23">
        <f ca="1">IFERROR(__xludf.DUMMYFUNCTION("""COMPUTED_VALUE"""),564)</f>
        <v>564</v>
      </c>
      <c r="S487" s="25" t="str">
        <f ca="1">IFERROR(__xludf.DUMMYFUNCTION("""COMPUTED_VALUE"""),"Fairy Aura")</f>
        <v>Fairy Aura</v>
      </c>
      <c r="T487" s="25"/>
      <c r="U487" s="25"/>
      <c r="V487" s="25" t="str">
        <f ca="1">IFERROR(__xludf.DUMMYFUNCTION("""COMPUTED_VALUE"""),"Ribombite")</f>
        <v>Ribombite</v>
      </c>
      <c r="W487" s="25"/>
      <c r="X487" s="25"/>
      <c r="Y487" s="25"/>
    </row>
    <row r="488" spans="1:25" x14ac:dyDescent="0.25">
      <c r="A488" s="25" t="str">
        <f ca="1">IFERROR(__xludf.DUMMYFUNCTION("""COMPUTED_VALUE"""),"Mega Gardevoir")</f>
        <v>Mega Gardevoir</v>
      </c>
      <c r="B488" s="27">
        <f ca="1">IFERROR(__xludf.DUMMYFUNCTION("""COMPUTED_VALUE"""),81)</f>
        <v>81</v>
      </c>
      <c r="C488" s="26" t="str">
        <f ca="1">IFERROR(__xludf.DUMMYFUNCTION("""COMPUTED_VALUE"""),"Psychic")</f>
        <v>Psychic</v>
      </c>
      <c r="D488" s="3" t="str">
        <f ca="1">IFERROR(__xludf.DUMMYFUNCTION("""COMPUTED_VALUE"""),"Fairy")</f>
        <v>Fairy</v>
      </c>
      <c r="E488" s="17">
        <f ca="1">IFERROR(__xludf.DUMMYFUNCTION("""COMPUTED_VALUE"""),68)</f>
        <v>68</v>
      </c>
      <c r="F488" s="17">
        <f ca="1">IFERROR(__xludf.DUMMYFUNCTION("""COMPUTED_VALUE"""),0)</f>
        <v>0</v>
      </c>
      <c r="G488" s="18">
        <f ca="1">IFERROR(__xludf.DUMMYFUNCTION("""COMPUTED_VALUE"""),85)</f>
        <v>85</v>
      </c>
      <c r="H488" s="18">
        <f ca="1">IFERROR(__xludf.DUMMYFUNCTION("""COMPUTED_VALUE"""),0)</f>
        <v>0</v>
      </c>
      <c r="I488" s="19">
        <f ca="1">IFERROR(__xludf.DUMMYFUNCTION("""COMPUTED_VALUE"""),65)</f>
        <v>65</v>
      </c>
      <c r="J488" s="19">
        <f ca="1">IFERROR(__xludf.DUMMYFUNCTION("""COMPUTED_VALUE"""),0)</f>
        <v>0</v>
      </c>
      <c r="K488" s="20">
        <f ca="1">IFERROR(__xludf.DUMMYFUNCTION("""COMPUTED_VALUE"""),165)</f>
        <v>165</v>
      </c>
      <c r="L488" s="20">
        <f ca="1">IFERROR(__xludf.DUMMYFUNCTION("""COMPUTED_VALUE"""),0)</f>
        <v>0</v>
      </c>
      <c r="M488" s="21">
        <f ca="1">IFERROR(__xludf.DUMMYFUNCTION("""COMPUTED_VALUE"""),135)</f>
        <v>135</v>
      </c>
      <c r="N488" s="21">
        <f ca="1">IFERROR(__xludf.DUMMYFUNCTION("""COMPUTED_VALUE"""),0)</f>
        <v>0</v>
      </c>
      <c r="O488" s="22">
        <f ca="1">IFERROR(__xludf.DUMMYFUNCTION("""COMPUTED_VALUE"""),100)</f>
        <v>100</v>
      </c>
      <c r="P488" s="22">
        <f ca="1">IFERROR(__xludf.DUMMYFUNCTION("""COMPUTED_VALUE"""),0)</f>
        <v>0</v>
      </c>
      <c r="Q488" s="23">
        <f ca="1">IFERROR(__xludf.DUMMYFUNCTION("""COMPUTED_VALUE"""),618)</f>
        <v>618</v>
      </c>
      <c r="R488" s="23">
        <f ca="1">IFERROR(__xludf.DUMMYFUNCTION("""COMPUTED_VALUE"""),0)</f>
        <v>0</v>
      </c>
      <c r="S488" s="25" t="str">
        <f ca="1">IFERROR(__xludf.DUMMYFUNCTION("""COMPUTED_VALUE"""),"Pixilate")</f>
        <v>Pixilate</v>
      </c>
      <c r="T488" s="25"/>
      <c r="U488" s="25"/>
      <c r="V488" s="25" t="str">
        <f ca="1">IFERROR(__xludf.DUMMYFUNCTION("""COMPUTED_VALUE"""),"Gardevoirite")</f>
        <v>Gardevoirite</v>
      </c>
      <c r="W488" s="25"/>
      <c r="X488" s="25"/>
      <c r="Y488" s="25"/>
    </row>
    <row r="489" spans="1:25" x14ac:dyDescent="0.25">
      <c r="A489" s="25" t="str">
        <f ca="1">IFERROR(__xludf.DUMMYFUNCTION("""COMPUTED_VALUE"""),"Mega Gallade")</f>
        <v>Mega Gallade</v>
      </c>
      <c r="B489" s="27">
        <f ca="1">IFERROR(__xludf.DUMMYFUNCTION("""COMPUTED_VALUE"""),82)</f>
        <v>82</v>
      </c>
      <c r="C489" s="26" t="str">
        <f ca="1">IFERROR(__xludf.DUMMYFUNCTION("""COMPUTED_VALUE"""),"Psychic")</f>
        <v>Psychic</v>
      </c>
      <c r="D489" s="3" t="str">
        <f ca="1">IFERROR(__xludf.DUMMYFUNCTION("""COMPUTED_VALUE"""),"Fighting")</f>
        <v>Fighting</v>
      </c>
      <c r="E489" s="17">
        <f ca="1">IFERROR(__xludf.DUMMYFUNCTION("""COMPUTED_VALUE"""),68)</f>
        <v>68</v>
      </c>
      <c r="F489" s="17">
        <f ca="1">IFERROR(__xludf.DUMMYFUNCTION("""COMPUTED_VALUE"""),0)</f>
        <v>0</v>
      </c>
      <c r="G489" s="18">
        <f ca="1">IFERROR(__xludf.DUMMYFUNCTION("""COMPUTED_VALUE"""),165)</f>
        <v>165</v>
      </c>
      <c r="H489" s="18">
        <f ca="1">IFERROR(__xludf.DUMMYFUNCTION("""COMPUTED_VALUE"""),0)</f>
        <v>0</v>
      </c>
      <c r="I489" s="19">
        <f ca="1">IFERROR(__xludf.DUMMYFUNCTION("""COMPUTED_VALUE"""),95)</f>
        <v>95</v>
      </c>
      <c r="J489" s="19">
        <f ca="1">IFERROR(__xludf.DUMMYFUNCTION("""COMPUTED_VALUE"""),0)</f>
        <v>0</v>
      </c>
      <c r="K489" s="20">
        <f ca="1">IFERROR(__xludf.DUMMYFUNCTION("""COMPUTED_VALUE"""),65)</f>
        <v>65</v>
      </c>
      <c r="L489" s="20">
        <f ca="1">IFERROR(__xludf.DUMMYFUNCTION("""COMPUTED_VALUE"""),0)</f>
        <v>0</v>
      </c>
      <c r="M489" s="21">
        <f ca="1">IFERROR(__xludf.DUMMYFUNCTION("""COMPUTED_VALUE"""),115)</f>
        <v>115</v>
      </c>
      <c r="N489" s="21">
        <f ca="1">IFERROR(__xludf.DUMMYFUNCTION("""COMPUTED_VALUE"""),0)</f>
        <v>0</v>
      </c>
      <c r="O489" s="22">
        <f ca="1">IFERROR(__xludf.DUMMYFUNCTION("""COMPUTED_VALUE"""),110)</f>
        <v>110</v>
      </c>
      <c r="P489" s="22">
        <f ca="1">IFERROR(__xludf.DUMMYFUNCTION("""COMPUTED_VALUE"""),0)</f>
        <v>0</v>
      </c>
      <c r="Q489" s="23">
        <f ca="1">IFERROR(__xludf.DUMMYFUNCTION("""COMPUTED_VALUE"""),618)</f>
        <v>618</v>
      </c>
      <c r="R489" s="23">
        <f ca="1">IFERROR(__xludf.DUMMYFUNCTION("""COMPUTED_VALUE"""),0)</f>
        <v>0</v>
      </c>
      <c r="S489" s="25" t="str">
        <f ca="1">IFERROR(__xludf.DUMMYFUNCTION("""COMPUTED_VALUE"""),"Inner Focus")</f>
        <v>Inner Focus</v>
      </c>
      <c r="T489" s="25"/>
      <c r="U489" s="25"/>
      <c r="V489" s="25" t="str">
        <f ca="1">IFERROR(__xludf.DUMMYFUNCTION("""COMPUTED_VALUE"""),"Galladite")</f>
        <v>Galladite</v>
      </c>
      <c r="W489" s="25"/>
      <c r="X489" s="25"/>
      <c r="Y489" s="25"/>
    </row>
    <row r="490" spans="1:25" x14ac:dyDescent="0.25">
      <c r="A490" s="25" t="str">
        <f ca="1">IFERROR(__xludf.DUMMYFUNCTION("""COMPUTED_VALUE"""),"Mega Gogoat")</f>
        <v>Mega Gogoat</v>
      </c>
      <c r="B490" s="27">
        <f ca="1">IFERROR(__xludf.DUMMYFUNCTION("""COMPUTED_VALUE"""),93)</f>
        <v>93</v>
      </c>
      <c r="C490" s="26" t="str">
        <f ca="1">IFERROR(__xludf.DUMMYFUNCTION("""COMPUTED_VALUE"""),"Grass")</f>
        <v>Grass</v>
      </c>
      <c r="D490" s="3" t="str">
        <f ca="1">IFERROR(__xludf.DUMMYFUNCTION("""COMPUTED_VALUE"""),"Ground")</f>
        <v>Ground</v>
      </c>
      <c r="E490" s="17">
        <f ca="1">IFERROR(__xludf.DUMMYFUNCTION("""COMPUTED_VALUE"""),133)</f>
        <v>133</v>
      </c>
      <c r="F490" s="17">
        <f ca="1">IFERROR(__xludf.DUMMYFUNCTION("""COMPUTED_VALUE"""),133)</f>
        <v>133</v>
      </c>
      <c r="G490" s="18">
        <f ca="1">IFERROR(__xludf.DUMMYFUNCTION("""COMPUTED_VALUE"""),134)</f>
        <v>134</v>
      </c>
      <c r="H490" s="18">
        <f ca="1">IFERROR(__xludf.DUMMYFUNCTION("""COMPUTED_VALUE"""),134)</f>
        <v>134</v>
      </c>
      <c r="I490" s="19">
        <f ca="1">IFERROR(__xludf.DUMMYFUNCTION("""COMPUTED_VALUE"""),97)</f>
        <v>97</v>
      </c>
      <c r="J490" s="19">
        <f ca="1">IFERROR(__xludf.DUMMYFUNCTION("""COMPUTED_VALUE"""),97)</f>
        <v>97</v>
      </c>
      <c r="K490" s="20">
        <f ca="1">IFERROR(__xludf.DUMMYFUNCTION("""COMPUTED_VALUE"""),127)</f>
        <v>127</v>
      </c>
      <c r="L490" s="20">
        <f ca="1">IFERROR(__xludf.DUMMYFUNCTION("""COMPUTED_VALUE"""),127)</f>
        <v>127</v>
      </c>
      <c r="M490" s="21">
        <f ca="1">IFERROR(__xludf.DUMMYFUNCTION("""COMPUTED_VALUE"""),91)</f>
        <v>91</v>
      </c>
      <c r="N490" s="21">
        <f ca="1">IFERROR(__xludf.DUMMYFUNCTION("""COMPUTED_VALUE"""),91)</f>
        <v>91</v>
      </c>
      <c r="O490" s="22">
        <f ca="1">IFERROR(__xludf.DUMMYFUNCTION("""COMPUTED_VALUE"""),64)</f>
        <v>64</v>
      </c>
      <c r="P490" s="22">
        <f ca="1">IFERROR(__xludf.DUMMYFUNCTION("""COMPUTED_VALUE"""),64)</f>
        <v>64</v>
      </c>
      <c r="Q490" s="23">
        <f ca="1">IFERROR(__xludf.DUMMYFUNCTION("""COMPUTED_VALUE"""),646)</f>
        <v>646</v>
      </c>
      <c r="R490" s="23">
        <f ca="1">IFERROR(__xludf.DUMMYFUNCTION("""COMPUTED_VALUE"""),646)</f>
        <v>646</v>
      </c>
      <c r="S490" s="25" t="str">
        <f ca="1">IFERROR(__xludf.DUMMYFUNCTION("""COMPUTED_VALUE"""),"Technician")</f>
        <v>Technician</v>
      </c>
      <c r="T490" s="25"/>
      <c r="U490" s="25"/>
      <c r="V490" s="25" t="str">
        <f ca="1">IFERROR(__xludf.DUMMYFUNCTION("""COMPUTED_VALUE"""),"Gogoatite")</f>
        <v>Gogoatite</v>
      </c>
      <c r="W490" s="25"/>
      <c r="X490" s="25"/>
      <c r="Y490" s="25"/>
    </row>
    <row r="491" spans="1:25" x14ac:dyDescent="0.25">
      <c r="A491" s="25" t="str">
        <f ca="1">IFERROR(__xludf.DUMMYFUNCTION("""COMPUTED_VALUE"""),"Mega Mawile")</f>
        <v>Mega Mawile</v>
      </c>
      <c r="B491" s="27">
        <f ca="1">IFERROR(__xludf.DUMMYFUNCTION("""COMPUTED_VALUE"""),104)</f>
        <v>104</v>
      </c>
      <c r="C491" s="26" t="str">
        <f ca="1">IFERROR(__xludf.DUMMYFUNCTION("""COMPUTED_VALUE"""),"Steel")</f>
        <v>Steel</v>
      </c>
      <c r="D491" s="3" t="str">
        <f ca="1">IFERROR(__xludf.DUMMYFUNCTION("""COMPUTED_VALUE"""),"Fairy")</f>
        <v>Fairy</v>
      </c>
      <c r="E491" s="17">
        <f ca="1">IFERROR(__xludf.DUMMYFUNCTION("""COMPUTED_VALUE"""),55)</f>
        <v>55</v>
      </c>
      <c r="F491" s="17">
        <f ca="1">IFERROR(__xludf.DUMMYFUNCTION("""COMPUTED_VALUE"""),5)</f>
        <v>5</v>
      </c>
      <c r="G491" s="18">
        <f ca="1">IFERROR(__xludf.DUMMYFUNCTION("""COMPUTED_VALUE"""),105)</f>
        <v>105</v>
      </c>
      <c r="H491" s="18">
        <f ca="1">IFERROR(__xludf.DUMMYFUNCTION("""COMPUTED_VALUE"""),0)</f>
        <v>0</v>
      </c>
      <c r="I491" s="19">
        <f ca="1">IFERROR(__xludf.DUMMYFUNCTION("""COMPUTED_VALUE"""),135)</f>
        <v>135</v>
      </c>
      <c r="J491" s="19">
        <f ca="1">IFERROR(__xludf.DUMMYFUNCTION("""COMPUTED_VALUE"""),10)</f>
        <v>10</v>
      </c>
      <c r="K491" s="20">
        <f ca="1">IFERROR(__xludf.DUMMYFUNCTION("""COMPUTED_VALUE"""),60)</f>
        <v>60</v>
      </c>
      <c r="L491" s="20">
        <f ca="1">IFERROR(__xludf.DUMMYFUNCTION("""COMPUTED_VALUE"""),5)</f>
        <v>5</v>
      </c>
      <c r="M491" s="21">
        <f ca="1">IFERROR(__xludf.DUMMYFUNCTION("""COMPUTED_VALUE"""),105)</f>
        <v>105</v>
      </c>
      <c r="N491" s="21">
        <f ca="1">IFERROR(__xludf.DUMMYFUNCTION("""COMPUTED_VALUE"""),10)</f>
        <v>10</v>
      </c>
      <c r="O491" s="22">
        <f ca="1">IFERROR(__xludf.DUMMYFUNCTION("""COMPUTED_VALUE"""),55)</f>
        <v>55</v>
      </c>
      <c r="P491" s="22">
        <f ca="1">IFERROR(__xludf.DUMMYFUNCTION("""COMPUTED_VALUE"""),5)</f>
        <v>5</v>
      </c>
      <c r="Q491" s="23">
        <f ca="1">IFERROR(__xludf.DUMMYFUNCTION("""COMPUTED_VALUE"""),515)</f>
        <v>515</v>
      </c>
      <c r="R491" s="23">
        <f ca="1">IFERROR(__xludf.DUMMYFUNCTION("""COMPUTED_VALUE"""),35)</f>
        <v>35</v>
      </c>
      <c r="S491" s="25" t="str">
        <f ca="1">IFERROR(__xludf.DUMMYFUNCTION("""COMPUTED_VALUE"""),"Huge Power")</f>
        <v>Huge Power</v>
      </c>
      <c r="T491" s="25"/>
      <c r="U491" s="25"/>
      <c r="V491" s="25" t="str">
        <f ca="1">IFERROR(__xludf.DUMMYFUNCTION("""COMPUTED_VALUE"""),"Mawilite")</f>
        <v>Mawilite</v>
      </c>
      <c r="W491" s="25"/>
      <c r="X491" s="25" t="str">
        <f ca="1">IFERROR(__xludf.DUMMYFUNCTION("""COMPUTED_VALUE"""),"Iron Ball")</f>
        <v>Iron Ball</v>
      </c>
      <c r="Y491" s="25"/>
    </row>
    <row r="492" spans="1:25" x14ac:dyDescent="0.25">
      <c r="A492" s="25" t="str">
        <f ca="1">IFERROR(__xludf.DUMMYFUNCTION("""COMPUTED_VALUE"""),"Mega Mandibuzz")</f>
        <v>Mega Mandibuzz</v>
      </c>
      <c r="B492" s="27">
        <f ca="1">IFERROR(__xludf.DUMMYFUNCTION("""COMPUTED_VALUE"""),108)</f>
        <v>108</v>
      </c>
      <c r="C492" s="26" t="str">
        <f ca="1">IFERROR(__xludf.DUMMYFUNCTION("""COMPUTED_VALUE"""),"Dark")</f>
        <v>Dark</v>
      </c>
      <c r="D492" s="3" t="str">
        <f ca="1">IFERROR(__xludf.DUMMYFUNCTION("""COMPUTED_VALUE"""),"Flying")</f>
        <v>Flying</v>
      </c>
      <c r="E492" s="17">
        <f ca="1">IFERROR(__xludf.DUMMYFUNCTION("""COMPUTED_VALUE"""),115)</f>
        <v>115</v>
      </c>
      <c r="F492" s="17">
        <f ca="1">IFERROR(__xludf.DUMMYFUNCTION("""COMPUTED_VALUE"""),115)</f>
        <v>115</v>
      </c>
      <c r="G492" s="18">
        <f ca="1">IFERROR(__xludf.DUMMYFUNCTION("""COMPUTED_VALUE"""),115)</f>
        <v>115</v>
      </c>
      <c r="H492" s="18">
        <f ca="1">IFERROR(__xludf.DUMMYFUNCTION("""COMPUTED_VALUE"""),115)</f>
        <v>115</v>
      </c>
      <c r="I492" s="19">
        <f ca="1">IFERROR(__xludf.DUMMYFUNCTION("""COMPUTED_VALUE"""),145)</f>
        <v>145</v>
      </c>
      <c r="J492" s="19">
        <f ca="1">IFERROR(__xludf.DUMMYFUNCTION("""COMPUTED_VALUE"""),145)</f>
        <v>145</v>
      </c>
      <c r="K492" s="20">
        <f ca="1">IFERROR(__xludf.DUMMYFUNCTION("""COMPUTED_VALUE"""),35)</f>
        <v>35</v>
      </c>
      <c r="L492" s="20">
        <f ca="1">IFERROR(__xludf.DUMMYFUNCTION("""COMPUTED_VALUE"""),35)</f>
        <v>35</v>
      </c>
      <c r="M492" s="21">
        <f ca="1">IFERROR(__xludf.DUMMYFUNCTION("""COMPUTED_VALUE"""),125)</f>
        <v>125</v>
      </c>
      <c r="N492" s="21">
        <f ca="1">IFERROR(__xludf.DUMMYFUNCTION("""COMPUTED_VALUE"""),125)</f>
        <v>125</v>
      </c>
      <c r="O492" s="22">
        <f ca="1">IFERROR(__xludf.DUMMYFUNCTION("""COMPUTED_VALUE"""),75)</f>
        <v>75</v>
      </c>
      <c r="P492" s="22">
        <f ca="1">IFERROR(__xludf.DUMMYFUNCTION("""COMPUTED_VALUE"""),75)</f>
        <v>75</v>
      </c>
      <c r="Q492" s="23">
        <f ca="1">IFERROR(__xludf.DUMMYFUNCTION("""COMPUTED_VALUE"""),610)</f>
        <v>610</v>
      </c>
      <c r="R492" s="23">
        <f ca="1">IFERROR(__xludf.DUMMYFUNCTION("""COMPUTED_VALUE"""),610)</f>
        <v>610</v>
      </c>
      <c r="S492" s="25" t="str">
        <f ca="1">IFERROR(__xludf.DUMMYFUNCTION("""COMPUTED_VALUE"""),"Scavenger (Leftovers effect?)")</f>
        <v>Scavenger (Leftovers effect?)</v>
      </c>
      <c r="T492" s="25"/>
      <c r="U492" s="25"/>
      <c r="V492" s="25" t="str">
        <f ca="1">IFERROR(__xludf.DUMMYFUNCTION("""COMPUTED_VALUE"""),"Mandibite")</f>
        <v>Mandibite</v>
      </c>
      <c r="W492" s="25"/>
      <c r="X492" s="25"/>
      <c r="Y492" s="25"/>
    </row>
    <row r="493" spans="1:25" x14ac:dyDescent="0.25">
      <c r="A493" s="25" t="str">
        <f ca="1">IFERROR(__xludf.DUMMYFUNCTION("""COMPUTED_VALUE"""),"Mega Aggron")</f>
        <v>Mega Aggron</v>
      </c>
      <c r="B493" s="27">
        <f ca="1">IFERROR(__xludf.DUMMYFUNCTION("""COMPUTED_VALUE"""),113)</f>
        <v>113</v>
      </c>
      <c r="C493" s="26" t="str">
        <f ca="1">IFERROR(__xludf.DUMMYFUNCTION("""COMPUTED_VALUE"""),"Steel")</f>
        <v>Steel</v>
      </c>
      <c r="D493" s="3"/>
      <c r="E493" s="17">
        <f ca="1">IFERROR(__xludf.DUMMYFUNCTION("""COMPUTED_VALUE"""),70)</f>
        <v>70</v>
      </c>
      <c r="F493" s="17">
        <f ca="1">IFERROR(__xludf.DUMMYFUNCTION("""COMPUTED_VALUE"""),0)</f>
        <v>0</v>
      </c>
      <c r="G493" s="18">
        <f ca="1">IFERROR(__xludf.DUMMYFUNCTION("""COMPUTED_VALUE"""),140)</f>
        <v>140</v>
      </c>
      <c r="H493" s="18">
        <f ca="1">IFERROR(__xludf.DUMMYFUNCTION("""COMPUTED_VALUE"""),0)</f>
        <v>0</v>
      </c>
      <c r="I493" s="19">
        <f ca="1">IFERROR(__xludf.DUMMYFUNCTION("""COMPUTED_VALUE"""),230)</f>
        <v>230</v>
      </c>
      <c r="J493" s="19">
        <f ca="1">IFERROR(__xludf.DUMMYFUNCTION("""COMPUTED_VALUE"""),0)</f>
        <v>0</v>
      </c>
      <c r="K493" s="20">
        <f ca="1">IFERROR(__xludf.DUMMYFUNCTION("""COMPUTED_VALUE"""),60)</f>
        <v>60</v>
      </c>
      <c r="L493" s="20">
        <f ca="1">IFERROR(__xludf.DUMMYFUNCTION("""COMPUTED_VALUE"""),0)</f>
        <v>0</v>
      </c>
      <c r="M493" s="21">
        <f ca="1">IFERROR(__xludf.DUMMYFUNCTION("""COMPUTED_VALUE"""),80)</f>
        <v>80</v>
      </c>
      <c r="N493" s="21">
        <f ca="1">IFERROR(__xludf.DUMMYFUNCTION("""COMPUTED_VALUE"""),0)</f>
        <v>0</v>
      </c>
      <c r="O493" s="22">
        <f ca="1">IFERROR(__xludf.DUMMYFUNCTION("""COMPUTED_VALUE"""),50)</f>
        <v>50</v>
      </c>
      <c r="P493" s="22">
        <f ca="1">IFERROR(__xludf.DUMMYFUNCTION("""COMPUTED_VALUE"""),0)</f>
        <v>0</v>
      </c>
      <c r="Q493" s="23">
        <f ca="1">IFERROR(__xludf.DUMMYFUNCTION("""COMPUTED_VALUE"""),630)</f>
        <v>630</v>
      </c>
      <c r="R493" s="23">
        <f ca="1">IFERROR(__xludf.DUMMYFUNCTION("""COMPUTED_VALUE"""),0)</f>
        <v>0</v>
      </c>
      <c r="S493" s="25" t="str">
        <f ca="1">IFERROR(__xludf.DUMMYFUNCTION("""COMPUTED_VALUE"""),"Filter")</f>
        <v>Filter</v>
      </c>
      <c r="T493" s="25"/>
      <c r="U493" s="25"/>
      <c r="V493" s="25" t="str">
        <f ca="1">IFERROR(__xludf.DUMMYFUNCTION("""COMPUTED_VALUE"""),"Aggronite")</f>
        <v>Aggronite</v>
      </c>
      <c r="W493" s="25"/>
      <c r="X493" s="25" t="str">
        <f ca="1">IFERROR(__xludf.DUMMYFUNCTION("""COMPUTED_VALUE"""),"Hard Stone")</f>
        <v>Hard Stone</v>
      </c>
      <c r="Y493" s="25"/>
    </row>
    <row r="494" spans="1:25" x14ac:dyDescent="0.25">
      <c r="A494" s="25" t="str">
        <f ca="1">IFERROR(__xludf.DUMMYFUNCTION("""COMPUTED_VALUE"""),"Mega Heracross")</f>
        <v>Mega Heracross</v>
      </c>
      <c r="B494" s="27">
        <f ca="1">IFERROR(__xludf.DUMMYFUNCTION("""COMPUTED_VALUE"""),126)</f>
        <v>126</v>
      </c>
      <c r="C494" s="26" t="str">
        <f ca="1">IFERROR(__xludf.DUMMYFUNCTION("""COMPUTED_VALUE"""),"Bug")</f>
        <v>Bug</v>
      </c>
      <c r="D494" s="3" t="str">
        <f ca="1">IFERROR(__xludf.DUMMYFUNCTION("""COMPUTED_VALUE"""),"Fighting")</f>
        <v>Fighting</v>
      </c>
      <c r="E494" s="17">
        <f ca="1">IFERROR(__xludf.DUMMYFUNCTION("""COMPUTED_VALUE"""),80)</f>
        <v>80</v>
      </c>
      <c r="F494" s="17">
        <f ca="1">IFERROR(__xludf.DUMMYFUNCTION("""COMPUTED_VALUE"""),0)</f>
        <v>0</v>
      </c>
      <c r="G494" s="18">
        <f ca="1">IFERROR(__xludf.DUMMYFUNCTION("""COMPUTED_VALUE"""),185)</f>
        <v>185</v>
      </c>
      <c r="H494" s="18">
        <f ca="1">IFERROR(__xludf.DUMMYFUNCTION("""COMPUTED_VALUE"""),0)</f>
        <v>0</v>
      </c>
      <c r="I494" s="19">
        <f ca="1">IFERROR(__xludf.DUMMYFUNCTION("""COMPUTED_VALUE"""),125)</f>
        <v>125</v>
      </c>
      <c r="J494" s="19">
        <f ca="1">IFERROR(__xludf.DUMMYFUNCTION("""COMPUTED_VALUE"""),10)</f>
        <v>10</v>
      </c>
      <c r="K494" s="20">
        <f ca="1">IFERROR(__xludf.DUMMYFUNCTION("""COMPUTED_VALUE"""),40)</f>
        <v>40</v>
      </c>
      <c r="L494" s="20">
        <f ca="1">IFERROR(__xludf.DUMMYFUNCTION("""COMPUTED_VALUE"""),0)</f>
        <v>0</v>
      </c>
      <c r="M494" s="21">
        <f ca="1">IFERROR(__xludf.DUMMYFUNCTION("""COMPUTED_VALUE"""),115)</f>
        <v>115</v>
      </c>
      <c r="N494" s="21">
        <f ca="1">IFERROR(__xludf.DUMMYFUNCTION("""COMPUTED_VALUE"""),10)</f>
        <v>10</v>
      </c>
      <c r="O494" s="22">
        <f ca="1">IFERROR(__xludf.DUMMYFUNCTION("""COMPUTED_VALUE"""),75)</f>
        <v>75</v>
      </c>
      <c r="P494" s="22">
        <f ca="1">IFERROR(__xludf.DUMMYFUNCTION("""COMPUTED_VALUE"""),0)</f>
        <v>0</v>
      </c>
      <c r="Q494" s="23">
        <f ca="1">IFERROR(__xludf.DUMMYFUNCTION("""COMPUTED_VALUE"""),620)</f>
        <v>620</v>
      </c>
      <c r="R494" s="23">
        <f ca="1">IFERROR(__xludf.DUMMYFUNCTION("""COMPUTED_VALUE"""),20)</f>
        <v>20</v>
      </c>
      <c r="S494" s="25" t="str">
        <f ca="1">IFERROR(__xludf.DUMMYFUNCTION("""COMPUTED_VALUE"""),"Skill Link")</f>
        <v>Skill Link</v>
      </c>
      <c r="T494" s="25"/>
      <c r="U494" s="25"/>
      <c r="V494" s="25" t="str">
        <f ca="1">IFERROR(__xludf.DUMMYFUNCTION("""COMPUTED_VALUE"""),"Heracronite")</f>
        <v>Heracronite</v>
      </c>
      <c r="W494" s="25"/>
      <c r="X494" s="25"/>
      <c r="Y494" s="25"/>
    </row>
    <row r="495" spans="1:25" x14ac:dyDescent="0.25">
      <c r="A495" s="25" t="str">
        <f ca="1">IFERROR(__xludf.DUMMYFUNCTION("""COMPUTED_VALUE"""),"Mega Banette")</f>
        <v>Mega Banette</v>
      </c>
      <c r="B495" s="27">
        <f ca="1">IFERROR(__xludf.DUMMYFUNCTION("""COMPUTED_VALUE"""),128)</f>
        <v>128</v>
      </c>
      <c r="C495" s="26" t="str">
        <f ca="1">IFERROR(__xludf.DUMMYFUNCTION("""COMPUTED_VALUE"""),"Ghost")</f>
        <v>Ghost</v>
      </c>
      <c r="D495" s="3" t="str">
        <f ca="1">IFERROR(__xludf.DUMMYFUNCTION("""COMPUTED_VALUE"""),"Dark")</f>
        <v>Dark</v>
      </c>
      <c r="E495" s="17">
        <f ca="1">IFERROR(__xludf.DUMMYFUNCTION("""COMPUTED_VALUE"""),74)</f>
        <v>74</v>
      </c>
      <c r="F495" s="17">
        <f ca="1">IFERROR(__xludf.DUMMYFUNCTION("""COMPUTED_VALUE"""),10)</f>
        <v>10</v>
      </c>
      <c r="G495" s="18">
        <f ca="1">IFERROR(__xludf.DUMMYFUNCTION("""COMPUTED_VALUE"""),165)</f>
        <v>165</v>
      </c>
      <c r="H495" s="18">
        <f ca="1">IFERROR(__xludf.DUMMYFUNCTION("""COMPUTED_VALUE"""),0)</f>
        <v>0</v>
      </c>
      <c r="I495" s="19">
        <f ca="1">IFERROR(__xludf.DUMMYFUNCTION("""COMPUTED_VALUE"""),75)</f>
        <v>75</v>
      </c>
      <c r="J495" s="19">
        <f ca="1">IFERROR(__xludf.DUMMYFUNCTION("""COMPUTED_VALUE"""),0)</f>
        <v>0</v>
      </c>
      <c r="K495" s="20">
        <f ca="1">IFERROR(__xludf.DUMMYFUNCTION("""COMPUTED_VALUE"""),93)</f>
        <v>93</v>
      </c>
      <c r="L495" s="20">
        <f ca="1">IFERROR(__xludf.DUMMYFUNCTION("""COMPUTED_VALUE"""),0)</f>
        <v>0</v>
      </c>
      <c r="M495" s="21">
        <f ca="1">IFERROR(__xludf.DUMMYFUNCTION("""COMPUTED_VALUE"""),83)</f>
        <v>83</v>
      </c>
      <c r="N495" s="21">
        <f ca="1">IFERROR(__xludf.DUMMYFUNCTION("""COMPUTED_VALUE"""),0)</f>
        <v>0</v>
      </c>
      <c r="O495" s="22">
        <f ca="1">IFERROR(__xludf.DUMMYFUNCTION("""COMPUTED_VALUE"""),75)</f>
        <v>75</v>
      </c>
      <c r="P495" s="22">
        <f ca="1">IFERROR(__xludf.DUMMYFUNCTION("""COMPUTED_VALUE"""),0)</f>
        <v>0</v>
      </c>
      <c r="Q495" s="23">
        <f ca="1">IFERROR(__xludf.DUMMYFUNCTION("""COMPUTED_VALUE"""),565)</f>
        <v>565</v>
      </c>
      <c r="R495" s="23">
        <f ca="1">IFERROR(__xludf.DUMMYFUNCTION("""COMPUTED_VALUE"""),10)</f>
        <v>10</v>
      </c>
      <c r="S495" s="25" t="str">
        <f ca="1">IFERROR(__xludf.DUMMYFUNCTION("""COMPUTED_VALUE"""),"Prankster")</f>
        <v>Prankster</v>
      </c>
      <c r="T495" s="25"/>
      <c r="U495" s="25"/>
      <c r="V495" s="25" t="str">
        <f ca="1">IFERROR(__xludf.DUMMYFUNCTION("""COMPUTED_VALUE"""),"Banettite")</f>
        <v>Banettite</v>
      </c>
      <c r="W495" s="25"/>
      <c r="X495" s="25" t="str">
        <f ca="1">IFERROR(__xludf.DUMMYFUNCTION("""COMPUTED_VALUE"""),"Spell Tag")</f>
        <v>Spell Tag</v>
      </c>
      <c r="Y495" s="25"/>
    </row>
    <row r="496" spans="1:25" x14ac:dyDescent="0.25">
      <c r="A496" s="12" t="str">
        <f ca="1">IFERROR(__xludf.DUMMYFUNCTION("""COMPUTED_VALUE"""),"Mega Noctowl")</f>
        <v>Mega Noctowl</v>
      </c>
      <c r="B496" s="28">
        <f ca="1">IFERROR(__xludf.DUMMYFUNCTION("""COMPUTED_VALUE"""),142)</f>
        <v>142</v>
      </c>
      <c r="C496" s="29" t="str">
        <f ca="1">IFERROR(__xludf.DUMMYFUNCTION("""COMPUTED_VALUE"""),"Ghost")</f>
        <v>Ghost</v>
      </c>
      <c r="D496" s="30" t="str">
        <f ca="1">IFERROR(__xludf.DUMMYFUNCTION("""COMPUTED_VALUE"""),"Flying")</f>
        <v>Flying</v>
      </c>
      <c r="E496" s="4">
        <f ca="1">IFERROR(__xludf.DUMMYFUNCTION("""COMPUTED_VALUE"""),100)</f>
        <v>100</v>
      </c>
      <c r="F496" s="4">
        <f ca="1">IFERROR(__xludf.DUMMYFUNCTION("""COMPUTED_VALUE"""),100)</f>
        <v>100</v>
      </c>
      <c r="G496" s="5">
        <f ca="1">IFERROR(__xludf.DUMMYFUNCTION("""COMPUTED_VALUE"""),70)</f>
        <v>70</v>
      </c>
      <c r="H496" s="5">
        <f ca="1">IFERROR(__xludf.DUMMYFUNCTION("""COMPUTED_VALUE"""),70)</f>
        <v>70</v>
      </c>
      <c r="I496" s="6">
        <f ca="1">IFERROR(__xludf.DUMMYFUNCTION("""COMPUTED_VALUE"""),80)</f>
        <v>80</v>
      </c>
      <c r="J496" s="6">
        <f ca="1">IFERROR(__xludf.DUMMYFUNCTION("""COMPUTED_VALUE"""),80)</f>
        <v>80</v>
      </c>
      <c r="K496" s="7">
        <f ca="1">IFERROR(__xludf.DUMMYFUNCTION("""COMPUTED_VALUE"""),121)</f>
        <v>121</v>
      </c>
      <c r="L496" s="7">
        <f ca="1">IFERROR(__xludf.DUMMYFUNCTION("""COMPUTED_VALUE"""),121)</f>
        <v>121</v>
      </c>
      <c r="M496" s="8">
        <f ca="1">IFERROR(__xludf.DUMMYFUNCTION("""COMPUTED_VALUE"""),141)</f>
        <v>141</v>
      </c>
      <c r="N496" s="8">
        <f ca="1">IFERROR(__xludf.DUMMYFUNCTION("""COMPUTED_VALUE"""),141)</f>
        <v>141</v>
      </c>
      <c r="O496" s="9">
        <f ca="1">IFERROR(__xludf.DUMMYFUNCTION("""COMPUTED_VALUE"""),45)</f>
        <v>45</v>
      </c>
      <c r="P496" s="9">
        <f ca="1">IFERROR(__xludf.DUMMYFUNCTION("""COMPUTED_VALUE"""),45)</f>
        <v>45</v>
      </c>
      <c r="Q496" s="10">
        <f ca="1">IFERROR(__xludf.DUMMYFUNCTION("""COMPUTED_VALUE"""),557)</f>
        <v>557</v>
      </c>
      <c r="R496" s="10">
        <f ca="1">IFERROR(__xludf.DUMMYFUNCTION("""COMPUTED_VALUE"""),557)</f>
        <v>557</v>
      </c>
      <c r="S496" s="11" t="str">
        <f ca="1">IFERROR(__xludf.DUMMYFUNCTION("""COMPUTED_VALUE"""),"Analytic")</f>
        <v>Analytic</v>
      </c>
      <c r="T496" s="12"/>
      <c r="U496" s="12"/>
      <c r="V496" s="12" t="str">
        <f ca="1">IFERROR(__xludf.DUMMYFUNCTION("""COMPUTED_VALUE"""),"Noctowlite")</f>
        <v>Noctowlite</v>
      </c>
      <c r="W496" s="12"/>
      <c r="X496" s="12"/>
      <c r="Y496" s="12"/>
    </row>
    <row r="497" spans="1:25" x14ac:dyDescent="0.25">
      <c r="A497" s="25" t="str">
        <f ca="1">IFERROR(__xludf.DUMMYFUNCTION("""COMPUTED_VALUE"""),"Mega Gengar")</f>
        <v>Mega Gengar</v>
      </c>
      <c r="B497" s="27">
        <f ca="1">IFERROR(__xludf.DUMMYFUNCTION("""COMPUTED_VALUE"""),157)</f>
        <v>157</v>
      </c>
      <c r="C497" s="26" t="str">
        <f ca="1">IFERROR(__xludf.DUMMYFUNCTION("""COMPUTED_VALUE"""),"Ghost")</f>
        <v>Ghost</v>
      </c>
      <c r="D497" s="3" t="str">
        <f ca="1">IFERROR(__xludf.DUMMYFUNCTION("""COMPUTED_VALUE"""),"Poison")</f>
        <v>Poison</v>
      </c>
      <c r="E497" s="17">
        <f ca="1">IFERROR(__xludf.DUMMYFUNCTION("""COMPUTED_VALUE"""),60)</f>
        <v>60</v>
      </c>
      <c r="F497" s="17">
        <f ca="1">IFERROR(__xludf.DUMMYFUNCTION("""COMPUTED_VALUE"""),0)</f>
        <v>0</v>
      </c>
      <c r="G497" s="18">
        <f ca="1">IFERROR(__xludf.DUMMYFUNCTION("""COMPUTED_VALUE"""),65)</f>
        <v>65</v>
      </c>
      <c r="H497" s="18">
        <f ca="1">IFERROR(__xludf.DUMMYFUNCTION("""COMPUTED_VALUE"""),0)</f>
        <v>0</v>
      </c>
      <c r="I497" s="19">
        <f ca="1">IFERROR(__xludf.DUMMYFUNCTION("""COMPUTED_VALUE"""),80)</f>
        <v>80</v>
      </c>
      <c r="J497" s="19">
        <f ca="1">IFERROR(__xludf.DUMMYFUNCTION("""COMPUTED_VALUE"""),0)</f>
        <v>0</v>
      </c>
      <c r="K497" s="20">
        <f ca="1">IFERROR(__xludf.DUMMYFUNCTION("""COMPUTED_VALUE"""),170)</f>
        <v>170</v>
      </c>
      <c r="L497" s="20">
        <f ca="1">IFERROR(__xludf.DUMMYFUNCTION("""COMPUTED_VALUE"""),0)</f>
        <v>0</v>
      </c>
      <c r="M497" s="21">
        <f ca="1">IFERROR(__xludf.DUMMYFUNCTION("""COMPUTED_VALUE"""),95)</f>
        <v>95</v>
      </c>
      <c r="N497" s="21">
        <f ca="1">IFERROR(__xludf.DUMMYFUNCTION("""COMPUTED_VALUE"""),0)</f>
        <v>0</v>
      </c>
      <c r="O497" s="22">
        <f ca="1">IFERROR(__xludf.DUMMYFUNCTION("""COMPUTED_VALUE"""),130)</f>
        <v>130</v>
      </c>
      <c r="P497" s="22">
        <f ca="1">IFERROR(__xludf.DUMMYFUNCTION("""COMPUTED_VALUE"""),0)</f>
        <v>0</v>
      </c>
      <c r="Q497" s="23">
        <f ca="1">IFERROR(__xludf.DUMMYFUNCTION("""COMPUTED_VALUE"""),600)</f>
        <v>600</v>
      </c>
      <c r="R497" s="23">
        <f ca="1">IFERROR(__xludf.DUMMYFUNCTION("""COMPUTED_VALUE"""),0)</f>
        <v>0</v>
      </c>
      <c r="S497" s="24" t="str">
        <f ca="1">IFERROR(__xludf.DUMMYFUNCTION("""COMPUTED_VALUE"""),"Shadow Tag")</f>
        <v>Shadow Tag</v>
      </c>
      <c r="T497" s="25"/>
      <c r="U497" s="25"/>
      <c r="V497" s="25" t="str">
        <f ca="1">IFERROR(__xludf.DUMMYFUNCTION("""COMPUTED_VALUE"""),"Gengarite")</f>
        <v>Gengarite</v>
      </c>
      <c r="W497" s="25"/>
      <c r="X497" s="25"/>
      <c r="Y497" s="25"/>
    </row>
    <row r="498" spans="1:25" x14ac:dyDescent="0.25">
      <c r="A498" s="25" t="str">
        <f ca="1">IFERROR(__xludf.DUMMYFUNCTION("""COMPUTED_VALUE"""),"Mega Houndoom")</f>
        <v>Mega Houndoom</v>
      </c>
      <c r="B498" s="27">
        <f ca="1">IFERROR(__xludf.DUMMYFUNCTION("""COMPUTED_VALUE"""),170)</f>
        <v>170</v>
      </c>
      <c r="C498" s="26" t="str">
        <f ca="1">IFERROR(__xludf.DUMMYFUNCTION("""COMPUTED_VALUE"""),"Dark")</f>
        <v>Dark</v>
      </c>
      <c r="D498" s="3" t="str">
        <f ca="1">IFERROR(__xludf.DUMMYFUNCTION("""COMPUTED_VALUE"""),"Fire")</f>
        <v>Fire</v>
      </c>
      <c r="E498" s="17">
        <f ca="1">IFERROR(__xludf.DUMMYFUNCTION("""COMPUTED_VALUE"""),75)</f>
        <v>75</v>
      </c>
      <c r="F498" s="17">
        <f ca="1">IFERROR(__xludf.DUMMYFUNCTION("""COMPUTED_VALUE"""),0)</f>
        <v>0</v>
      </c>
      <c r="G498" s="18">
        <f ca="1">IFERROR(__xludf.DUMMYFUNCTION("""COMPUTED_VALUE"""),95)</f>
        <v>95</v>
      </c>
      <c r="H498" s="18">
        <f ca="1">IFERROR(__xludf.DUMMYFUNCTION("""COMPUTED_VALUE"""),5)</f>
        <v>5</v>
      </c>
      <c r="I498" s="19">
        <f ca="1">IFERROR(__xludf.DUMMYFUNCTION("""COMPUTED_VALUE"""),90)</f>
        <v>90</v>
      </c>
      <c r="J498" s="19">
        <f ca="1">IFERROR(__xludf.DUMMYFUNCTION("""COMPUTED_VALUE"""),0)</f>
        <v>0</v>
      </c>
      <c r="K498" s="20">
        <f ca="1">IFERROR(__xludf.DUMMYFUNCTION("""COMPUTED_VALUE"""),140)</f>
        <v>140</v>
      </c>
      <c r="L498" s="20">
        <f ca="1">IFERROR(__xludf.DUMMYFUNCTION("""COMPUTED_VALUE"""),0)</f>
        <v>0</v>
      </c>
      <c r="M498" s="21">
        <f ca="1">IFERROR(__xludf.DUMMYFUNCTION("""COMPUTED_VALUE"""),90)</f>
        <v>90</v>
      </c>
      <c r="N498" s="21">
        <f ca="1">IFERROR(__xludf.DUMMYFUNCTION("""COMPUTED_VALUE"""),0)</f>
        <v>0</v>
      </c>
      <c r="O498" s="22">
        <f ca="1">IFERROR(__xludf.DUMMYFUNCTION("""COMPUTED_VALUE"""),115)</f>
        <v>115</v>
      </c>
      <c r="P498" s="22">
        <f ca="1">IFERROR(__xludf.DUMMYFUNCTION("""COMPUTED_VALUE"""),0)</f>
        <v>0</v>
      </c>
      <c r="Q498" s="23">
        <f ca="1">IFERROR(__xludf.DUMMYFUNCTION("""COMPUTED_VALUE"""),605)</f>
        <v>605</v>
      </c>
      <c r="R498" s="23">
        <f ca="1">IFERROR(__xludf.DUMMYFUNCTION("""COMPUTED_VALUE"""),5)</f>
        <v>5</v>
      </c>
      <c r="S498" s="25" t="str">
        <f ca="1">IFERROR(__xludf.DUMMYFUNCTION("""COMPUTED_VALUE"""),"Solar Power")</f>
        <v>Solar Power</v>
      </c>
      <c r="T498" s="25"/>
      <c r="U498" s="25"/>
      <c r="V498" s="25" t="str">
        <f ca="1">IFERROR(__xludf.DUMMYFUNCTION("""COMPUTED_VALUE"""),"Houndoominite")</f>
        <v>Houndoominite</v>
      </c>
      <c r="W498" s="25"/>
      <c r="X498" s="25"/>
      <c r="Y498" s="25"/>
    </row>
    <row r="499" spans="1:25" x14ac:dyDescent="0.25">
      <c r="A499" s="25" t="str">
        <f ca="1">IFERROR(__xludf.DUMMYFUNCTION("""COMPUTED_VALUE"""),"Mega Steelix")</f>
        <v>Mega Steelix</v>
      </c>
      <c r="B499" s="27">
        <f ca="1">IFERROR(__xludf.DUMMYFUNCTION("""COMPUTED_VALUE"""),180)</f>
        <v>180</v>
      </c>
      <c r="C499" s="26" t="str">
        <f ca="1">IFERROR(__xludf.DUMMYFUNCTION("""COMPUTED_VALUE"""),"Steel")</f>
        <v>Steel</v>
      </c>
      <c r="D499" s="3" t="str">
        <f ca="1">IFERROR(__xludf.DUMMYFUNCTION("""COMPUTED_VALUE"""),"Ground")</f>
        <v>Ground</v>
      </c>
      <c r="E499" s="17">
        <f ca="1">IFERROR(__xludf.DUMMYFUNCTION("""COMPUTED_VALUE"""),75)</f>
        <v>75</v>
      </c>
      <c r="F499" s="17">
        <f ca="1">IFERROR(__xludf.DUMMYFUNCTION("""COMPUTED_VALUE"""),0)</f>
        <v>0</v>
      </c>
      <c r="G499" s="18">
        <f ca="1">IFERROR(__xludf.DUMMYFUNCTION("""COMPUTED_VALUE"""),125)</f>
        <v>125</v>
      </c>
      <c r="H499" s="18">
        <f ca="1">IFERROR(__xludf.DUMMYFUNCTION("""COMPUTED_VALUE"""),0)</f>
        <v>0</v>
      </c>
      <c r="I499" s="19">
        <f ca="1">IFERROR(__xludf.DUMMYFUNCTION("""COMPUTED_VALUE"""),230)</f>
        <v>230</v>
      </c>
      <c r="J499" s="19">
        <f ca="1">IFERROR(__xludf.DUMMYFUNCTION("""COMPUTED_VALUE"""),0)</f>
        <v>0</v>
      </c>
      <c r="K499" s="20">
        <f ca="1">IFERROR(__xludf.DUMMYFUNCTION("""COMPUTED_VALUE"""),55)</f>
        <v>55</v>
      </c>
      <c r="L499" s="20">
        <f ca="1">IFERROR(__xludf.DUMMYFUNCTION("""COMPUTED_VALUE"""),0)</f>
        <v>0</v>
      </c>
      <c r="M499" s="21">
        <f ca="1">IFERROR(__xludf.DUMMYFUNCTION("""COMPUTED_VALUE"""),95)</f>
        <v>95</v>
      </c>
      <c r="N499" s="21">
        <f ca="1">IFERROR(__xludf.DUMMYFUNCTION("""COMPUTED_VALUE"""),0)</f>
        <v>0</v>
      </c>
      <c r="O499" s="22">
        <f ca="1">IFERROR(__xludf.DUMMYFUNCTION("""COMPUTED_VALUE"""),30)</f>
        <v>30</v>
      </c>
      <c r="P499" s="22">
        <f ca="1">IFERROR(__xludf.DUMMYFUNCTION("""COMPUTED_VALUE"""),0)</f>
        <v>0</v>
      </c>
      <c r="Q499" s="23">
        <f ca="1">IFERROR(__xludf.DUMMYFUNCTION("""COMPUTED_VALUE"""),610)</f>
        <v>610</v>
      </c>
      <c r="R499" s="23">
        <f ca="1">IFERROR(__xludf.DUMMYFUNCTION("""COMPUTED_VALUE"""),0)</f>
        <v>0</v>
      </c>
      <c r="S499" s="25" t="str">
        <f ca="1">IFERROR(__xludf.DUMMYFUNCTION("""COMPUTED_VALUE"""),"Sand Force")</f>
        <v>Sand Force</v>
      </c>
      <c r="T499" s="25"/>
      <c r="U499" s="25"/>
      <c r="V499" s="25" t="str">
        <f ca="1">IFERROR(__xludf.DUMMYFUNCTION("""COMPUTED_VALUE"""),"Steelixite")</f>
        <v>Steelixite</v>
      </c>
      <c r="W499" s="25"/>
      <c r="X499" s="25" t="str">
        <f ca="1">IFERROR(__xludf.DUMMYFUNCTION("""COMPUTED_VALUE"""),"Metal Coat")</f>
        <v>Metal Coat</v>
      </c>
      <c r="Y499" s="25"/>
    </row>
    <row r="500" spans="1:25" x14ac:dyDescent="0.25">
      <c r="A500" s="25" t="str">
        <f ca="1">IFERROR(__xludf.DUMMYFUNCTION("""COMPUTED_VALUE"""),"Mega Wyrdeer")</f>
        <v>Mega Wyrdeer</v>
      </c>
      <c r="B500" s="27">
        <f ca="1">IFERROR(__xludf.DUMMYFUNCTION("""COMPUTED_VALUE"""),185)</f>
        <v>185</v>
      </c>
      <c r="C500" s="26" t="str">
        <f ca="1">IFERROR(__xludf.DUMMYFUNCTION("""COMPUTED_VALUE"""),"Normal")</f>
        <v>Normal</v>
      </c>
      <c r="D500" s="3" t="str">
        <f ca="1">IFERROR(__xludf.DUMMYFUNCTION("""COMPUTED_VALUE"""),"Psychic")</f>
        <v>Psychic</v>
      </c>
      <c r="E500" s="17">
        <f ca="1">IFERROR(__xludf.DUMMYFUNCTION("""COMPUTED_VALUE"""),103)</f>
        <v>103</v>
      </c>
      <c r="F500" s="17">
        <f ca="1">IFERROR(__xludf.DUMMYFUNCTION("""COMPUTED_VALUE"""),103)</f>
        <v>103</v>
      </c>
      <c r="G500" s="18">
        <f ca="1">IFERROR(__xludf.DUMMYFUNCTION("""COMPUTED_VALUE"""),120)</f>
        <v>120</v>
      </c>
      <c r="H500" s="18">
        <f ca="1">IFERROR(__xludf.DUMMYFUNCTION("""COMPUTED_VALUE"""),120)</f>
        <v>120</v>
      </c>
      <c r="I500" s="19">
        <f ca="1">IFERROR(__xludf.DUMMYFUNCTION("""COMPUTED_VALUE"""),97)</f>
        <v>97</v>
      </c>
      <c r="J500" s="19">
        <f ca="1">IFERROR(__xludf.DUMMYFUNCTION("""COMPUTED_VALUE"""),97)</f>
        <v>97</v>
      </c>
      <c r="K500" s="20">
        <f ca="1">IFERROR(__xludf.DUMMYFUNCTION("""COMPUTED_VALUE"""),140)</f>
        <v>140</v>
      </c>
      <c r="L500" s="20">
        <f ca="1">IFERROR(__xludf.DUMMYFUNCTION("""COMPUTED_VALUE"""),140)</f>
        <v>140</v>
      </c>
      <c r="M500" s="21">
        <f ca="1">IFERROR(__xludf.DUMMYFUNCTION("""COMPUTED_VALUE"""),115)</f>
        <v>115</v>
      </c>
      <c r="N500" s="21">
        <f ca="1">IFERROR(__xludf.DUMMYFUNCTION("""COMPUTED_VALUE"""),115)</f>
        <v>115</v>
      </c>
      <c r="O500" s="22">
        <f ca="1">IFERROR(__xludf.DUMMYFUNCTION("""COMPUTED_VALUE"""),50)</f>
        <v>50</v>
      </c>
      <c r="P500" s="22">
        <f ca="1">IFERROR(__xludf.DUMMYFUNCTION("""COMPUTED_VALUE"""),50)</f>
        <v>50</v>
      </c>
      <c r="Q500" s="23">
        <f ca="1">IFERROR(__xludf.DUMMYFUNCTION("""COMPUTED_VALUE"""),625)</f>
        <v>625</v>
      </c>
      <c r="R500" s="23">
        <f ca="1">IFERROR(__xludf.DUMMYFUNCTION("""COMPUTED_VALUE"""),625)</f>
        <v>625</v>
      </c>
      <c r="S500" s="24" t="str">
        <f ca="1">IFERROR(__xludf.DUMMYFUNCTION("""COMPUTED_VALUE"""),"Fur Coat")</f>
        <v>Fur Coat</v>
      </c>
      <c r="T500" s="25"/>
      <c r="U500" s="25"/>
      <c r="V500" s="25" t="str">
        <f ca="1">IFERROR(__xludf.DUMMYFUNCTION("""COMPUTED_VALUE"""),"Wyrdeerite")</f>
        <v>Wyrdeerite</v>
      </c>
      <c r="W500" s="25"/>
      <c r="X500" s="25"/>
      <c r="Y500" s="25"/>
    </row>
    <row r="501" spans="1:25" x14ac:dyDescent="0.25">
      <c r="A501" s="25" t="str">
        <f ca="1">IFERROR(__xludf.DUMMYFUNCTION("""COMPUTED_VALUE"""),"Mega Glalie")</f>
        <v>Mega Glalie</v>
      </c>
      <c r="B501" s="27">
        <f ca="1">IFERROR(__xludf.DUMMYFUNCTION("""COMPUTED_VALUE"""),187)</f>
        <v>187</v>
      </c>
      <c r="C501" s="26" t="str">
        <f ca="1">IFERROR(__xludf.DUMMYFUNCTION("""COMPUTED_VALUE"""),"Ice")</f>
        <v>Ice</v>
      </c>
      <c r="D501" s="3"/>
      <c r="E501" s="17">
        <f ca="1">IFERROR(__xludf.DUMMYFUNCTION("""COMPUTED_VALUE"""),90)</f>
        <v>90</v>
      </c>
      <c r="F501" s="17">
        <f ca="1">IFERROR(__xludf.DUMMYFUNCTION("""COMPUTED_VALUE"""),10)</f>
        <v>10</v>
      </c>
      <c r="G501" s="18">
        <f ca="1">IFERROR(__xludf.DUMMYFUNCTION("""COMPUTED_VALUE"""),120)</f>
        <v>120</v>
      </c>
      <c r="H501" s="18">
        <f ca="1">IFERROR(__xludf.DUMMYFUNCTION("""COMPUTED_VALUE"""),0)</f>
        <v>0</v>
      </c>
      <c r="I501" s="19">
        <f ca="1">IFERROR(__xludf.DUMMYFUNCTION("""COMPUTED_VALUE"""),100)</f>
        <v>100</v>
      </c>
      <c r="J501" s="19">
        <f ca="1">IFERROR(__xludf.DUMMYFUNCTION("""COMPUTED_VALUE"""),20)</f>
        <v>20</v>
      </c>
      <c r="K501" s="20">
        <f ca="1">IFERROR(__xludf.DUMMYFUNCTION("""COMPUTED_VALUE"""),120)</f>
        <v>120</v>
      </c>
      <c r="L501" s="20">
        <f ca="1">IFERROR(__xludf.DUMMYFUNCTION("""COMPUTED_VALUE"""),0)</f>
        <v>0</v>
      </c>
      <c r="M501" s="21">
        <f ca="1">IFERROR(__xludf.DUMMYFUNCTION("""COMPUTED_VALUE"""),90)</f>
        <v>90</v>
      </c>
      <c r="N501" s="21">
        <f ca="1">IFERROR(__xludf.DUMMYFUNCTION("""COMPUTED_VALUE"""),10)</f>
        <v>10</v>
      </c>
      <c r="O501" s="22">
        <f ca="1">IFERROR(__xludf.DUMMYFUNCTION("""COMPUTED_VALUE"""),100)</f>
        <v>100</v>
      </c>
      <c r="P501" s="22">
        <f ca="1">IFERROR(__xludf.DUMMYFUNCTION("""COMPUTED_VALUE"""),0)</f>
        <v>0</v>
      </c>
      <c r="Q501" s="23">
        <f ca="1">IFERROR(__xludf.DUMMYFUNCTION("""COMPUTED_VALUE"""),620)</f>
        <v>620</v>
      </c>
      <c r="R501" s="23">
        <f ca="1">IFERROR(__xludf.DUMMYFUNCTION("""COMPUTED_VALUE"""),40)</f>
        <v>40</v>
      </c>
      <c r="S501" s="25" t="str">
        <f ca="1">IFERROR(__xludf.DUMMYFUNCTION("""COMPUTED_VALUE"""),"Refrigerate")</f>
        <v>Refrigerate</v>
      </c>
      <c r="T501" s="25"/>
      <c r="U501" s="25"/>
      <c r="V501" s="25" t="str">
        <f ca="1">IFERROR(__xludf.DUMMYFUNCTION("""COMPUTED_VALUE"""),"Glalitite")</f>
        <v>Glalitite</v>
      </c>
      <c r="W501" s="25"/>
      <c r="X501" s="25"/>
      <c r="Y501" s="25"/>
    </row>
    <row r="502" spans="1:25" x14ac:dyDescent="0.25">
      <c r="A502" s="25" t="str">
        <f ca="1">IFERROR(__xludf.DUMMYFUNCTION("""COMPUTED_VALUE"""),"Mega Copperajah")</f>
        <v>Mega Copperajah</v>
      </c>
      <c r="B502" s="27">
        <f ca="1">IFERROR(__xludf.DUMMYFUNCTION("""COMPUTED_VALUE"""),197)</f>
        <v>197</v>
      </c>
      <c r="C502" s="26" t="str">
        <f ca="1">IFERROR(__xludf.DUMMYFUNCTION("""COMPUTED_VALUE"""),"Steel")</f>
        <v>Steel</v>
      </c>
      <c r="D502" s="3" t="str">
        <f ca="1">IFERROR(__xludf.DUMMYFUNCTION("""COMPUTED_VALUE"""),"Normal")</f>
        <v>Normal</v>
      </c>
      <c r="E502" s="17">
        <f ca="1">IFERROR(__xludf.DUMMYFUNCTION("""COMPUTED_VALUE"""),122)</f>
        <v>122</v>
      </c>
      <c r="F502" s="17">
        <f ca="1">IFERROR(__xludf.DUMMYFUNCTION("""COMPUTED_VALUE"""),122)</f>
        <v>122</v>
      </c>
      <c r="G502" s="18">
        <f ca="1">IFERROR(__xludf.DUMMYFUNCTION("""COMPUTED_VALUE"""),150)</f>
        <v>150</v>
      </c>
      <c r="H502" s="18">
        <f ca="1">IFERROR(__xludf.DUMMYFUNCTION("""COMPUTED_VALUE"""),150)</f>
        <v>150</v>
      </c>
      <c r="I502" s="19">
        <f ca="1">IFERROR(__xludf.DUMMYFUNCTION("""COMPUTED_VALUE"""),109)</f>
        <v>109</v>
      </c>
      <c r="J502" s="19">
        <f ca="1">IFERROR(__xludf.DUMMYFUNCTION("""COMPUTED_VALUE"""),109)</f>
        <v>109</v>
      </c>
      <c r="K502" s="20">
        <f ca="1">IFERROR(__xludf.DUMMYFUNCTION("""COMPUTED_VALUE"""),85)</f>
        <v>85</v>
      </c>
      <c r="L502" s="20">
        <f ca="1">IFERROR(__xludf.DUMMYFUNCTION("""COMPUTED_VALUE"""),85)</f>
        <v>85</v>
      </c>
      <c r="M502" s="21">
        <f ca="1">IFERROR(__xludf.DUMMYFUNCTION("""COMPUTED_VALUE"""),89)</f>
        <v>89</v>
      </c>
      <c r="N502" s="21">
        <f ca="1">IFERROR(__xludf.DUMMYFUNCTION("""COMPUTED_VALUE"""),89)</f>
        <v>89</v>
      </c>
      <c r="O502" s="22">
        <f ca="1">IFERROR(__xludf.DUMMYFUNCTION("""COMPUTED_VALUE"""),45)</f>
        <v>45</v>
      </c>
      <c r="P502" s="22">
        <f ca="1">IFERROR(__xludf.DUMMYFUNCTION("""COMPUTED_VALUE"""),45)</f>
        <v>45</v>
      </c>
      <c r="Q502" s="23">
        <f ca="1">IFERROR(__xludf.DUMMYFUNCTION("""COMPUTED_VALUE"""),600)</f>
        <v>600</v>
      </c>
      <c r="R502" s="23">
        <f ca="1">IFERROR(__xludf.DUMMYFUNCTION("""COMPUTED_VALUE"""),600)</f>
        <v>600</v>
      </c>
      <c r="S502" s="25" t="str">
        <f ca="1">IFERROR(__xludf.DUMMYFUNCTION("""COMPUTED_VALUE"""),"Super Luck")</f>
        <v>Super Luck</v>
      </c>
      <c r="T502" s="25"/>
      <c r="U502" s="25"/>
      <c r="V502" s="25" t="str">
        <f ca="1">IFERROR(__xludf.DUMMYFUNCTION("""COMPUTED_VALUE"""),"Copperajite")</f>
        <v>Copperajite</v>
      </c>
      <c r="W502" s="25"/>
      <c r="X502" s="25" t="str">
        <f ca="1">IFERROR(__xludf.DUMMYFUNCTION("""COMPUTED_VALUE"""),"Lagging Tail")</f>
        <v>Lagging Tail</v>
      </c>
      <c r="Y502" s="25"/>
    </row>
    <row r="503" spans="1:25" x14ac:dyDescent="0.25">
      <c r="A503" s="25" t="str">
        <f ca="1">IFERROR(__xludf.DUMMYFUNCTION("""COMPUTED_VALUE"""),"Mega Hawlucha")</f>
        <v>Mega Hawlucha</v>
      </c>
      <c r="B503" s="27">
        <f ca="1">IFERROR(__xludf.DUMMYFUNCTION("""COMPUTED_VALUE"""),223)</f>
        <v>223</v>
      </c>
      <c r="C503" s="26" t="str">
        <f ca="1">IFERROR(__xludf.DUMMYFUNCTION("""COMPUTED_VALUE"""),"Fighting")</f>
        <v>Fighting</v>
      </c>
      <c r="D503" s="3" t="str">
        <f ca="1">IFERROR(__xludf.DUMMYFUNCTION("""COMPUTED_VALUE"""),"Flying")</f>
        <v>Flying</v>
      </c>
      <c r="E503" s="17">
        <f ca="1">IFERROR(__xludf.DUMMYFUNCTION("""COMPUTED_VALUE"""),78)</f>
        <v>78</v>
      </c>
      <c r="F503" s="17">
        <f ca="1">IFERROR(__xludf.DUMMYFUNCTION("""COMPUTED_VALUE"""),78)</f>
        <v>78</v>
      </c>
      <c r="G503" s="18">
        <f ca="1">IFERROR(__xludf.DUMMYFUNCTION("""COMPUTED_VALUE"""),117)</f>
        <v>117</v>
      </c>
      <c r="H503" s="18">
        <f ca="1">IFERROR(__xludf.DUMMYFUNCTION("""COMPUTED_VALUE"""),117)</f>
        <v>117</v>
      </c>
      <c r="I503" s="19">
        <f ca="1">IFERROR(__xludf.DUMMYFUNCTION("""COMPUTED_VALUE"""),115)</f>
        <v>115</v>
      </c>
      <c r="J503" s="19">
        <f ca="1">IFERROR(__xludf.DUMMYFUNCTION("""COMPUTED_VALUE"""),115)</f>
        <v>115</v>
      </c>
      <c r="K503" s="20">
        <f ca="1">IFERROR(__xludf.DUMMYFUNCTION("""COMPUTED_VALUE"""),74)</f>
        <v>74</v>
      </c>
      <c r="L503" s="20">
        <f ca="1">IFERROR(__xludf.DUMMYFUNCTION("""COMPUTED_VALUE"""),74)</f>
        <v>74</v>
      </c>
      <c r="M503" s="21">
        <f ca="1">IFERROR(__xludf.DUMMYFUNCTION("""COMPUTED_VALUE"""),93)</f>
        <v>93</v>
      </c>
      <c r="N503" s="21">
        <f ca="1">IFERROR(__xludf.DUMMYFUNCTION("""COMPUTED_VALUE"""),93)</f>
        <v>93</v>
      </c>
      <c r="O503" s="22">
        <f ca="1">IFERROR(__xludf.DUMMYFUNCTION("""COMPUTED_VALUE"""),123)</f>
        <v>123</v>
      </c>
      <c r="P503" s="22">
        <f ca="1">IFERROR(__xludf.DUMMYFUNCTION("""COMPUTED_VALUE"""),123)</f>
        <v>123</v>
      </c>
      <c r="Q503" s="23">
        <f ca="1">IFERROR(__xludf.DUMMYFUNCTION("""COMPUTED_VALUE"""),600)</f>
        <v>600</v>
      </c>
      <c r="R503" s="23">
        <f ca="1">IFERROR(__xludf.DUMMYFUNCTION("""COMPUTED_VALUE"""),600)</f>
        <v>600</v>
      </c>
      <c r="S503" s="25" t="str">
        <f ca="1">IFERROR(__xludf.DUMMYFUNCTION("""COMPUTED_VALUE"""),"Moxie")</f>
        <v>Moxie</v>
      </c>
      <c r="T503" s="25"/>
      <c r="U503" s="25"/>
      <c r="V503" s="25" t="str">
        <f ca="1">IFERROR(__xludf.DUMMYFUNCTION("""COMPUTED_VALUE"""),"Hawluchite")</f>
        <v>Hawluchite</v>
      </c>
      <c r="W503" s="25"/>
      <c r="X503" s="25" t="str">
        <f ca="1">IFERROR(__xludf.DUMMYFUNCTION("""COMPUTED_VALUE"""),"King`s Rock")</f>
        <v>King`s Rock</v>
      </c>
      <c r="Y503" s="25"/>
    </row>
    <row r="504" spans="1:25" x14ac:dyDescent="0.25">
      <c r="A504" s="25" t="str">
        <f ca="1">IFERROR(__xludf.DUMMYFUNCTION("""COMPUTED_VALUE"""),"Mega Centiskorch")</f>
        <v>Mega Centiskorch</v>
      </c>
      <c r="B504" s="27">
        <f ca="1">IFERROR(__xludf.DUMMYFUNCTION("""COMPUTED_VALUE"""),225)</f>
        <v>225</v>
      </c>
      <c r="C504" s="26" t="str">
        <f ca="1">IFERROR(__xludf.DUMMYFUNCTION("""COMPUTED_VALUE"""),"Fire")</f>
        <v>Fire</v>
      </c>
      <c r="D504" s="3" t="str">
        <f ca="1">IFERROR(__xludf.DUMMYFUNCTION("""COMPUTED_VALUE"""),"Bug")</f>
        <v>Bug</v>
      </c>
      <c r="E504" s="17">
        <f ca="1">IFERROR(__xludf.DUMMYFUNCTION("""COMPUTED_VALUE"""),105)</f>
        <v>105</v>
      </c>
      <c r="F504" s="17">
        <f ca="1">IFERROR(__xludf.DUMMYFUNCTION("""COMPUTED_VALUE"""),105)</f>
        <v>105</v>
      </c>
      <c r="G504" s="18">
        <f ca="1">IFERROR(__xludf.DUMMYFUNCTION("""COMPUTED_VALUE"""),145)</f>
        <v>145</v>
      </c>
      <c r="H504" s="18">
        <f ca="1">IFERROR(__xludf.DUMMYFUNCTION("""COMPUTED_VALUE"""),145)</f>
        <v>145</v>
      </c>
      <c r="I504" s="19">
        <f ca="1">IFERROR(__xludf.DUMMYFUNCTION("""COMPUTED_VALUE"""),85)</f>
        <v>85</v>
      </c>
      <c r="J504" s="19">
        <f ca="1">IFERROR(__xludf.DUMMYFUNCTION("""COMPUTED_VALUE"""),85)</f>
        <v>85</v>
      </c>
      <c r="K504" s="20">
        <f ca="1">IFERROR(__xludf.DUMMYFUNCTION("""COMPUTED_VALUE"""),100)</f>
        <v>100</v>
      </c>
      <c r="L504" s="20">
        <f ca="1">IFERROR(__xludf.DUMMYFUNCTION("""COMPUTED_VALUE"""),100)</f>
        <v>100</v>
      </c>
      <c r="M504" s="21">
        <f ca="1">IFERROR(__xludf.DUMMYFUNCTION("""COMPUTED_VALUE"""),100)</f>
        <v>100</v>
      </c>
      <c r="N504" s="21">
        <f ca="1">IFERROR(__xludf.DUMMYFUNCTION("""COMPUTED_VALUE"""),100)</f>
        <v>100</v>
      </c>
      <c r="O504" s="22">
        <f ca="1">IFERROR(__xludf.DUMMYFUNCTION("""COMPUTED_VALUE"""),90)</f>
        <v>90</v>
      </c>
      <c r="P504" s="22">
        <f ca="1">IFERROR(__xludf.DUMMYFUNCTION("""COMPUTED_VALUE"""),90)</f>
        <v>90</v>
      </c>
      <c r="Q504" s="23">
        <f ca="1">IFERROR(__xludf.DUMMYFUNCTION("""COMPUTED_VALUE"""),625)</f>
        <v>625</v>
      </c>
      <c r="R504" s="23">
        <f ca="1">IFERROR(__xludf.DUMMYFUNCTION("""COMPUTED_VALUE"""),625)</f>
        <v>625</v>
      </c>
      <c r="S504" s="25" t="str">
        <f ca="1">IFERROR(__xludf.DUMMYFUNCTION("""COMPUTED_VALUE"""),"Armor Tail")</f>
        <v>Armor Tail</v>
      </c>
      <c r="T504" s="25"/>
      <c r="U504" s="25"/>
      <c r="V504" s="25" t="str">
        <f ca="1">IFERROR(__xludf.DUMMYFUNCTION("""COMPUTED_VALUE"""),"Centiskite")</f>
        <v>Centiskite</v>
      </c>
      <c r="W504" s="25"/>
      <c r="X504" s="25"/>
      <c r="Y504" s="25"/>
    </row>
    <row r="505" spans="1:25" x14ac:dyDescent="0.25">
      <c r="A505" s="25" t="str">
        <f ca="1">IFERROR(__xludf.DUMMYFUNCTION("""COMPUTED_VALUE"""),"Mega Cyclizar S")</f>
        <v>Mega Cyclizar S</v>
      </c>
      <c r="B505" s="27">
        <f ca="1">IFERROR(__xludf.DUMMYFUNCTION("""COMPUTED_VALUE"""),245)</f>
        <v>245</v>
      </c>
      <c r="C505" s="26" t="str">
        <f ca="1">IFERROR(__xludf.DUMMYFUNCTION("""COMPUTED_VALUE"""),"Dragon")</f>
        <v>Dragon</v>
      </c>
      <c r="D505" s="3" t="str">
        <f ca="1">IFERROR(__xludf.DUMMYFUNCTION("""COMPUTED_VALUE"""),"Fighting")</f>
        <v>Fighting</v>
      </c>
      <c r="E505" s="17">
        <f ca="1">IFERROR(__xludf.DUMMYFUNCTION("""COMPUTED_VALUE"""),70)</f>
        <v>70</v>
      </c>
      <c r="F505" s="17">
        <f ca="1">IFERROR(__xludf.DUMMYFUNCTION("""COMPUTED_VALUE"""),70)</f>
        <v>70</v>
      </c>
      <c r="G505" s="18">
        <f ca="1">IFERROR(__xludf.DUMMYFUNCTION("""COMPUTED_VALUE"""),145)</f>
        <v>145</v>
      </c>
      <c r="H505" s="18">
        <f ca="1">IFERROR(__xludf.DUMMYFUNCTION("""COMPUTED_VALUE"""),145)</f>
        <v>145</v>
      </c>
      <c r="I505" s="19">
        <f ca="1">IFERROR(__xludf.DUMMYFUNCTION("""COMPUTED_VALUE"""),100)</f>
        <v>100</v>
      </c>
      <c r="J505" s="19">
        <f ca="1">IFERROR(__xludf.DUMMYFUNCTION("""COMPUTED_VALUE"""),100)</f>
        <v>100</v>
      </c>
      <c r="K505" s="20">
        <f ca="1">IFERROR(__xludf.DUMMYFUNCTION("""COMPUTED_VALUE"""),85)</f>
        <v>85</v>
      </c>
      <c r="L505" s="20">
        <f ca="1">IFERROR(__xludf.DUMMYFUNCTION("""COMPUTED_VALUE"""),85)</f>
        <v>85</v>
      </c>
      <c r="M505" s="21">
        <f ca="1">IFERROR(__xludf.DUMMYFUNCTION("""COMPUTED_VALUE"""),80)</f>
        <v>80</v>
      </c>
      <c r="N505" s="21">
        <f ca="1">IFERROR(__xludf.DUMMYFUNCTION("""COMPUTED_VALUE"""),80)</f>
        <v>80</v>
      </c>
      <c r="O505" s="22">
        <f ca="1">IFERROR(__xludf.DUMMYFUNCTION("""COMPUTED_VALUE"""),131)</f>
        <v>131</v>
      </c>
      <c r="P505" s="22">
        <f ca="1">IFERROR(__xludf.DUMMYFUNCTION("""COMPUTED_VALUE"""),131)</f>
        <v>131</v>
      </c>
      <c r="Q505" s="23">
        <f ca="1">IFERROR(__xludf.DUMMYFUNCTION("""COMPUTED_VALUE"""),611)</f>
        <v>611</v>
      </c>
      <c r="R505" s="23">
        <f ca="1">IFERROR(__xludf.DUMMYFUNCTION("""COMPUTED_VALUE"""),611)</f>
        <v>611</v>
      </c>
      <c r="S505" s="25" t="str">
        <f ca="1">IFERROR(__xludf.DUMMYFUNCTION("""COMPUTED_VALUE"""),"Moxie")</f>
        <v>Moxie</v>
      </c>
      <c r="T505" s="25"/>
      <c r="U505" s="25"/>
      <c r="V505" s="25" t="str">
        <f ca="1">IFERROR(__xludf.DUMMYFUNCTION("""COMPUTED_VALUE"""),"Cyclizite S")</f>
        <v>Cyclizite S</v>
      </c>
      <c r="W505" s="25"/>
      <c r="X505" s="25"/>
      <c r="Y505" s="25"/>
    </row>
    <row r="506" spans="1:25" x14ac:dyDescent="0.25">
      <c r="A506" s="25" t="str">
        <f ca="1">IFERROR(__xludf.DUMMYFUNCTION("""COMPUTED_VALUE"""),"Mega Cyclizar V")</f>
        <v>Mega Cyclizar V</v>
      </c>
      <c r="B506" s="27">
        <f ca="1">IFERROR(__xludf.DUMMYFUNCTION("""COMPUTED_VALUE"""),245)</f>
        <v>245</v>
      </c>
      <c r="C506" s="26" t="str">
        <f ca="1">IFERROR(__xludf.DUMMYFUNCTION("""COMPUTED_VALUE"""),"Dragon")</f>
        <v>Dragon</v>
      </c>
      <c r="D506" s="3" t="str">
        <f ca="1">IFERROR(__xludf.DUMMYFUNCTION("""COMPUTED_VALUE"""),"Electric")</f>
        <v>Electric</v>
      </c>
      <c r="E506" s="17">
        <f ca="1">IFERROR(__xludf.DUMMYFUNCTION("""COMPUTED_VALUE"""),70)</f>
        <v>70</v>
      </c>
      <c r="F506" s="17">
        <f ca="1">IFERROR(__xludf.DUMMYFUNCTION("""COMPUTED_VALUE"""),70)</f>
        <v>70</v>
      </c>
      <c r="G506" s="18">
        <f ca="1">IFERROR(__xludf.DUMMYFUNCTION("""COMPUTED_VALUE"""),85)</f>
        <v>85</v>
      </c>
      <c r="H506" s="18">
        <f ca="1">IFERROR(__xludf.DUMMYFUNCTION("""COMPUTED_VALUE"""),85)</f>
        <v>85</v>
      </c>
      <c r="I506" s="19">
        <f ca="1">IFERROR(__xludf.DUMMYFUNCTION("""COMPUTED_VALUE"""),80)</f>
        <v>80</v>
      </c>
      <c r="J506" s="19">
        <f ca="1">IFERROR(__xludf.DUMMYFUNCTION("""COMPUTED_VALUE"""),80)</f>
        <v>80</v>
      </c>
      <c r="K506" s="20">
        <f ca="1">IFERROR(__xludf.DUMMYFUNCTION("""COMPUTED_VALUE"""),145)</f>
        <v>145</v>
      </c>
      <c r="L506" s="20">
        <f ca="1">IFERROR(__xludf.DUMMYFUNCTION("""COMPUTED_VALUE"""),145)</f>
        <v>145</v>
      </c>
      <c r="M506" s="21">
        <f ca="1">IFERROR(__xludf.DUMMYFUNCTION("""COMPUTED_VALUE"""),95)</f>
        <v>95</v>
      </c>
      <c r="N506" s="21">
        <f ca="1">IFERROR(__xludf.DUMMYFUNCTION("""COMPUTED_VALUE"""),95)</f>
        <v>95</v>
      </c>
      <c r="O506" s="22">
        <f ca="1">IFERROR(__xludf.DUMMYFUNCTION("""COMPUTED_VALUE"""),136)</f>
        <v>136</v>
      </c>
      <c r="P506" s="22">
        <f ca="1">IFERROR(__xludf.DUMMYFUNCTION("""COMPUTED_VALUE"""),136)</f>
        <v>136</v>
      </c>
      <c r="Q506" s="23">
        <f ca="1">IFERROR(__xludf.DUMMYFUNCTION("""COMPUTED_VALUE"""),611)</f>
        <v>611</v>
      </c>
      <c r="R506" s="23">
        <f ca="1">IFERROR(__xludf.DUMMYFUNCTION("""COMPUTED_VALUE"""),611)</f>
        <v>611</v>
      </c>
      <c r="S506" s="25" t="str">
        <f ca="1">IFERROR(__xludf.DUMMYFUNCTION("""COMPUTED_VALUE"""),"Electric Surge")</f>
        <v>Electric Surge</v>
      </c>
      <c r="T506" s="25"/>
      <c r="U506" s="25"/>
      <c r="V506" s="25" t="str">
        <f ca="1">IFERROR(__xludf.DUMMYFUNCTION("""COMPUTED_VALUE"""),"Cyclizite V")</f>
        <v>Cyclizite V</v>
      </c>
      <c r="W506" s="25"/>
      <c r="X506" s="25"/>
      <c r="Y506" s="25"/>
    </row>
    <row r="507" spans="1:25" x14ac:dyDescent="0.25">
      <c r="A507" s="25" t="str">
        <f ca="1">IFERROR(__xludf.DUMMYFUNCTION("""COMPUTED_VALUE"""),"Mega Raichu X")</f>
        <v>Mega Raichu X</v>
      </c>
      <c r="B507" s="27">
        <f ca="1">IFERROR(__xludf.DUMMYFUNCTION("""COMPUTED_VALUE"""),250)</f>
        <v>250</v>
      </c>
      <c r="C507" s="26" t="str">
        <f ca="1">IFERROR(__xludf.DUMMYFUNCTION("""COMPUTED_VALUE"""),"Electric")</f>
        <v>Electric</v>
      </c>
      <c r="D507" s="3"/>
      <c r="E507" s="17">
        <f ca="1">IFERROR(__xludf.DUMMYFUNCTION("""COMPUTED_VALUE"""),80)</f>
        <v>80</v>
      </c>
      <c r="F507" s="17">
        <f ca="1">IFERROR(__xludf.DUMMYFUNCTION("""COMPUTED_VALUE"""),80)</f>
        <v>80</v>
      </c>
      <c r="G507" s="18">
        <f ca="1">IFERROR(__xludf.DUMMYFUNCTION("""COMPUTED_VALUE"""),130)</f>
        <v>130</v>
      </c>
      <c r="H507" s="18">
        <f ca="1">IFERROR(__xludf.DUMMYFUNCTION("""COMPUTED_VALUE"""),130)</f>
        <v>130</v>
      </c>
      <c r="I507" s="19">
        <f ca="1">IFERROR(__xludf.DUMMYFUNCTION("""COMPUTED_VALUE"""),90)</f>
        <v>90</v>
      </c>
      <c r="J507" s="19">
        <f ca="1">IFERROR(__xludf.DUMMYFUNCTION("""COMPUTED_VALUE"""),90)</f>
        <v>90</v>
      </c>
      <c r="K507" s="20">
        <f ca="1">IFERROR(__xludf.DUMMYFUNCTION("""COMPUTED_VALUE"""),90)</f>
        <v>90</v>
      </c>
      <c r="L507" s="20">
        <f ca="1">IFERROR(__xludf.DUMMYFUNCTION("""COMPUTED_VALUE"""),90)</f>
        <v>90</v>
      </c>
      <c r="M507" s="21">
        <f ca="1">IFERROR(__xludf.DUMMYFUNCTION("""COMPUTED_VALUE"""),90)</f>
        <v>90</v>
      </c>
      <c r="N507" s="21">
        <f ca="1">IFERROR(__xludf.DUMMYFUNCTION("""COMPUTED_VALUE"""),90)</f>
        <v>90</v>
      </c>
      <c r="O507" s="22">
        <f ca="1">IFERROR(__xludf.DUMMYFUNCTION("""COMPUTED_VALUE"""),130)</f>
        <v>130</v>
      </c>
      <c r="P507" s="22">
        <f ca="1">IFERROR(__xludf.DUMMYFUNCTION("""COMPUTED_VALUE"""),130)</f>
        <v>130</v>
      </c>
      <c r="Q507" s="23">
        <f ca="1">IFERROR(__xludf.DUMMYFUNCTION("""COMPUTED_VALUE"""),610)</f>
        <v>610</v>
      </c>
      <c r="R507" s="23">
        <f ca="1">IFERROR(__xludf.DUMMYFUNCTION("""COMPUTED_VALUE"""),610)</f>
        <v>610</v>
      </c>
      <c r="S507" s="25" t="str">
        <f ca="1">IFERROR(__xludf.DUMMYFUNCTION("""COMPUTED_VALUE"""),"Iron Fist")</f>
        <v>Iron Fist</v>
      </c>
      <c r="T507" s="25"/>
      <c r="U507" s="25"/>
      <c r="V507" s="25" t="str">
        <f ca="1">IFERROR(__xludf.DUMMYFUNCTION("""COMPUTED_VALUE"""),"Raichuite X")</f>
        <v>Raichuite X</v>
      </c>
      <c r="W507" s="25"/>
      <c r="X507" s="25"/>
      <c r="Y507" s="25"/>
    </row>
    <row r="508" spans="1:25" x14ac:dyDescent="0.25">
      <c r="A508" s="25" t="str">
        <f ca="1">IFERROR(__xludf.DUMMYFUNCTION("""COMPUTED_VALUE"""),"Mega Raichu Y")</f>
        <v>Mega Raichu Y</v>
      </c>
      <c r="B508" s="27">
        <f ca="1">IFERROR(__xludf.DUMMYFUNCTION("""COMPUTED_VALUE"""),250)</f>
        <v>250</v>
      </c>
      <c r="C508" s="26" t="str">
        <f ca="1">IFERROR(__xludf.DUMMYFUNCTION("""COMPUTED_VALUE"""),"Electric")</f>
        <v>Electric</v>
      </c>
      <c r="D508" s="3"/>
      <c r="E508" s="17">
        <f ca="1">IFERROR(__xludf.DUMMYFUNCTION("""COMPUTED_VALUE"""),80)</f>
        <v>80</v>
      </c>
      <c r="F508" s="17">
        <f ca="1">IFERROR(__xludf.DUMMYFUNCTION("""COMPUTED_VALUE"""),80)</f>
        <v>80</v>
      </c>
      <c r="G508" s="18">
        <f ca="1">IFERROR(__xludf.DUMMYFUNCTION("""COMPUTED_VALUE"""),90)</f>
        <v>90</v>
      </c>
      <c r="H508" s="18">
        <f ca="1">IFERROR(__xludf.DUMMYFUNCTION("""COMPUTED_VALUE"""),90)</f>
        <v>90</v>
      </c>
      <c r="I508" s="19">
        <f ca="1">IFERROR(__xludf.DUMMYFUNCTION("""COMPUTED_VALUE"""),65)</f>
        <v>65</v>
      </c>
      <c r="J508" s="19">
        <f ca="1">IFERROR(__xludf.DUMMYFUNCTION("""COMPUTED_VALUE"""),65)</f>
        <v>65</v>
      </c>
      <c r="K508" s="20">
        <f ca="1">IFERROR(__xludf.DUMMYFUNCTION("""COMPUTED_VALUE"""),125)</f>
        <v>125</v>
      </c>
      <c r="L508" s="20">
        <f ca="1">IFERROR(__xludf.DUMMYFUNCTION("""COMPUTED_VALUE"""),125)</f>
        <v>125</v>
      </c>
      <c r="M508" s="21">
        <f ca="1">IFERROR(__xludf.DUMMYFUNCTION("""COMPUTED_VALUE"""),100)</f>
        <v>100</v>
      </c>
      <c r="N508" s="21">
        <f ca="1">IFERROR(__xludf.DUMMYFUNCTION("""COMPUTED_VALUE"""),100)</f>
        <v>100</v>
      </c>
      <c r="O508" s="22">
        <f ca="1">IFERROR(__xludf.DUMMYFUNCTION("""COMPUTED_VALUE"""),150)</f>
        <v>150</v>
      </c>
      <c r="P508" s="22">
        <f ca="1">IFERROR(__xludf.DUMMYFUNCTION("""COMPUTED_VALUE"""),150)</f>
        <v>150</v>
      </c>
      <c r="Q508" s="23">
        <f ca="1">IFERROR(__xludf.DUMMYFUNCTION("""COMPUTED_VALUE"""),610)</f>
        <v>610</v>
      </c>
      <c r="R508" s="23">
        <f ca="1">IFERROR(__xludf.DUMMYFUNCTION("""COMPUTED_VALUE"""),610)</f>
        <v>610</v>
      </c>
      <c r="S508" s="25" t="str">
        <f ca="1">IFERROR(__xludf.DUMMYFUNCTION("""COMPUTED_VALUE"""),"Galvanize")</f>
        <v>Galvanize</v>
      </c>
      <c r="T508" s="25"/>
      <c r="U508" s="25"/>
      <c r="V508" s="25" t="str">
        <f ca="1">IFERROR(__xludf.DUMMYFUNCTION("""COMPUTED_VALUE"""),"Raichuite Y")</f>
        <v>Raichuite Y</v>
      </c>
      <c r="W508" s="25"/>
      <c r="X508" s="25"/>
      <c r="Y508" s="25"/>
    </row>
    <row r="509" spans="1:25" x14ac:dyDescent="0.25">
      <c r="A509" s="25" t="str">
        <f ca="1">IFERROR(__xludf.DUMMYFUNCTION("""COMPUTED_VALUE"""),"Mega Scizor")</f>
        <v>Mega Scizor</v>
      </c>
      <c r="B509" s="27">
        <f ca="1">IFERROR(__xludf.DUMMYFUNCTION("""COMPUTED_VALUE"""),265)</f>
        <v>265</v>
      </c>
      <c r="C509" s="26" t="str">
        <f ca="1">IFERROR(__xludf.DUMMYFUNCTION("""COMPUTED_VALUE"""),"Bug")</f>
        <v>Bug</v>
      </c>
      <c r="D509" s="3" t="str">
        <f ca="1">IFERROR(__xludf.DUMMYFUNCTION("""COMPUTED_VALUE"""),"Steel")</f>
        <v>Steel</v>
      </c>
      <c r="E509" s="17">
        <f ca="1">IFERROR(__xludf.DUMMYFUNCTION("""COMPUTED_VALUE"""),70)</f>
        <v>70</v>
      </c>
      <c r="F509" s="17">
        <f ca="1">IFERROR(__xludf.DUMMYFUNCTION("""COMPUTED_VALUE"""),0)</f>
        <v>0</v>
      </c>
      <c r="G509" s="18">
        <f ca="1">IFERROR(__xludf.DUMMYFUNCTION("""COMPUTED_VALUE"""),150)</f>
        <v>150</v>
      </c>
      <c r="H509" s="18">
        <f ca="1">IFERROR(__xludf.DUMMYFUNCTION("""COMPUTED_VALUE"""),0)</f>
        <v>0</v>
      </c>
      <c r="I509" s="19">
        <f ca="1">IFERROR(__xludf.DUMMYFUNCTION("""COMPUTED_VALUE"""),140)</f>
        <v>140</v>
      </c>
      <c r="J509" s="19">
        <f ca="1">IFERROR(__xludf.DUMMYFUNCTION("""COMPUTED_VALUE"""),0)</f>
        <v>0</v>
      </c>
      <c r="K509" s="20">
        <f ca="1">IFERROR(__xludf.DUMMYFUNCTION("""COMPUTED_VALUE"""),65)</f>
        <v>65</v>
      </c>
      <c r="L509" s="20">
        <f ca="1">IFERROR(__xludf.DUMMYFUNCTION("""COMPUTED_VALUE"""),0)</f>
        <v>0</v>
      </c>
      <c r="M509" s="21">
        <f ca="1">IFERROR(__xludf.DUMMYFUNCTION("""COMPUTED_VALUE"""),100)</f>
        <v>100</v>
      </c>
      <c r="N509" s="21">
        <f ca="1">IFERROR(__xludf.DUMMYFUNCTION("""COMPUTED_VALUE"""),0)</f>
        <v>0</v>
      </c>
      <c r="O509" s="22">
        <f ca="1">IFERROR(__xludf.DUMMYFUNCTION("""COMPUTED_VALUE"""),75)</f>
        <v>75</v>
      </c>
      <c r="P509" s="22">
        <f ca="1">IFERROR(__xludf.DUMMYFUNCTION("""COMPUTED_VALUE"""),0)</f>
        <v>0</v>
      </c>
      <c r="Q509" s="23">
        <f ca="1">IFERROR(__xludf.DUMMYFUNCTION("""COMPUTED_VALUE"""),600)</f>
        <v>600</v>
      </c>
      <c r="R509" s="23">
        <f ca="1">IFERROR(__xludf.DUMMYFUNCTION("""COMPUTED_VALUE"""),0)</f>
        <v>0</v>
      </c>
      <c r="S509" s="25" t="str">
        <f ca="1">IFERROR(__xludf.DUMMYFUNCTION("""COMPUTED_VALUE"""),"Technician")</f>
        <v>Technician</v>
      </c>
      <c r="T509" s="25"/>
      <c r="U509" s="25"/>
      <c r="V509" s="25" t="str">
        <f ca="1">IFERROR(__xludf.DUMMYFUNCTION("""COMPUTED_VALUE"""),"Scizorite")</f>
        <v>Scizorite</v>
      </c>
      <c r="W509" s="25"/>
      <c r="X509" s="25"/>
      <c r="Y509" s="25"/>
    </row>
    <row r="510" spans="1:25" x14ac:dyDescent="0.25">
      <c r="A510" s="25" t="str">
        <f ca="1">IFERROR(__xludf.DUMMYFUNCTION("""COMPUTED_VALUE"""),"Mega Medicham")</f>
        <v>Mega Medicham</v>
      </c>
      <c r="B510" s="27">
        <f ca="1">IFERROR(__xludf.DUMMYFUNCTION("""COMPUTED_VALUE"""),282)</f>
        <v>282</v>
      </c>
      <c r="C510" s="26" t="str">
        <f ca="1">IFERROR(__xludf.DUMMYFUNCTION("""COMPUTED_VALUE"""),"Fighting")</f>
        <v>Fighting</v>
      </c>
      <c r="D510" s="3" t="str">
        <f ca="1">IFERROR(__xludf.DUMMYFUNCTION("""COMPUTED_VALUE"""),"Psychic")</f>
        <v>Psychic</v>
      </c>
      <c r="E510" s="17">
        <f ca="1">IFERROR(__xludf.DUMMYFUNCTION("""COMPUTED_VALUE"""),80)</f>
        <v>80</v>
      </c>
      <c r="F510" s="17">
        <f ca="1">IFERROR(__xludf.DUMMYFUNCTION("""COMPUTED_VALUE"""),20)</f>
        <v>20</v>
      </c>
      <c r="G510" s="18">
        <f ca="1">IFERROR(__xludf.DUMMYFUNCTION("""COMPUTED_VALUE"""),103)</f>
        <v>103</v>
      </c>
      <c r="H510" s="18">
        <f ca="1">IFERROR(__xludf.DUMMYFUNCTION("""COMPUTED_VALUE"""),3)</f>
        <v>3</v>
      </c>
      <c r="I510" s="19">
        <f ca="1">IFERROR(__xludf.DUMMYFUNCTION("""COMPUTED_VALUE"""),85)</f>
        <v>85</v>
      </c>
      <c r="J510" s="19">
        <f ca="1">IFERROR(__xludf.DUMMYFUNCTION("""COMPUTED_VALUE"""),0)</f>
        <v>0</v>
      </c>
      <c r="K510" s="20">
        <f ca="1">IFERROR(__xludf.DUMMYFUNCTION("""COMPUTED_VALUE"""),90)</f>
        <v>90</v>
      </c>
      <c r="L510" s="20">
        <f ca="1">IFERROR(__xludf.DUMMYFUNCTION("""COMPUTED_VALUE"""),10)</f>
        <v>10</v>
      </c>
      <c r="M510" s="21">
        <f ca="1">IFERROR(__xludf.DUMMYFUNCTION("""COMPUTED_VALUE"""),85)</f>
        <v>85</v>
      </c>
      <c r="N510" s="21">
        <f ca="1">IFERROR(__xludf.DUMMYFUNCTION("""COMPUTED_VALUE"""),0)</f>
        <v>0</v>
      </c>
      <c r="O510" s="22">
        <f ca="1">IFERROR(__xludf.DUMMYFUNCTION("""COMPUTED_VALUE"""),107)</f>
        <v>107</v>
      </c>
      <c r="P510" s="22">
        <f ca="1">IFERROR(__xludf.DUMMYFUNCTION("""COMPUTED_VALUE"""),7)</f>
        <v>7</v>
      </c>
      <c r="Q510" s="23">
        <f ca="1">IFERROR(__xludf.DUMMYFUNCTION("""COMPUTED_VALUE"""),550)</f>
        <v>550</v>
      </c>
      <c r="R510" s="23">
        <f ca="1">IFERROR(__xludf.DUMMYFUNCTION("""COMPUTED_VALUE"""),40)</f>
        <v>40</v>
      </c>
      <c r="S510" s="25" t="str">
        <f ca="1">IFERROR(__xludf.DUMMYFUNCTION("""COMPUTED_VALUE"""),"Pure Power")</f>
        <v>Pure Power</v>
      </c>
      <c r="T510" s="25"/>
      <c r="U510" s="25"/>
      <c r="V510" s="25" t="str">
        <f ca="1">IFERROR(__xludf.DUMMYFUNCTION("""COMPUTED_VALUE"""),"Medichamite")</f>
        <v>Medichamite</v>
      </c>
      <c r="W510" s="25"/>
      <c r="X510" s="25"/>
      <c r="Y510" s="25"/>
    </row>
    <row r="511" spans="1:25" x14ac:dyDescent="0.25">
      <c r="A511" s="25" t="str">
        <f ca="1">IFERROR(__xludf.DUMMYFUNCTION("""COMPUTED_VALUE"""),"Mega Pangoro")</f>
        <v>Mega Pangoro</v>
      </c>
      <c r="B511" s="27">
        <f ca="1">IFERROR(__xludf.DUMMYFUNCTION("""COMPUTED_VALUE"""),290)</f>
        <v>290</v>
      </c>
      <c r="C511" s="26" t="str">
        <f ca="1">IFERROR(__xludf.DUMMYFUNCTION("""COMPUTED_VALUE"""),"Fighting")</f>
        <v>Fighting</v>
      </c>
      <c r="D511" s="3" t="str">
        <f ca="1">IFERROR(__xludf.DUMMYFUNCTION("""COMPUTED_VALUE"""),"Dark")</f>
        <v>Dark</v>
      </c>
      <c r="E511" s="17">
        <f ca="1">IFERROR(__xludf.DUMMYFUNCTION("""COMPUTED_VALUE"""),95)</f>
        <v>95</v>
      </c>
      <c r="F511" s="17">
        <f ca="1">IFERROR(__xludf.DUMMYFUNCTION("""COMPUTED_VALUE"""),95)</f>
        <v>95</v>
      </c>
      <c r="G511" s="18">
        <f ca="1">IFERROR(__xludf.DUMMYFUNCTION("""COMPUTED_VALUE"""),144)</f>
        <v>144</v>
      </c>
      <c r="H511" s="18">
        <f ca="1">IFERROR(__xludf.DUMMYFUNCTION("""COMPUTED_VALUE"""),144)</f>
        <v>144</v>
      </c>
      <c r="I511" s="19">
        <f ca="1">IFERROR(__xludf.DUMMYFUNCTION("""COMPUTED_VALUE"""),98)</f>
        <v>98</v>
      </c>
      <c r="J511" s="19">
        <f ca="1">IFERROR(__xludf.DUMMYFUNCTION("""COMPUTED_VALUE"""),98)</f>
        <v>98</v>
      </c>
      <c r="K511" s="20">
        <f ca="1">IFERROR(__xludf.DUMMYFUNCTION("""COMPUTED_VALUE"""),79)</f>
        <v>79</v>
      </c>
      <c r="L511" s="20">
        <f ca="1">IFERROR(__xludf.DUMMYFUNCTION("""COMPUTED_VALUE"""),79)</f>
        <v>79</v>
      </c>
      <c r="M511" s="21">
        <f ca="1">IFERROR(__xludf.DUMMYFUNCTION("""COMPUTED_VALUE"""),91)</f>
        <v>91</v>
      </c>
      <c r="N511" s="21">
        <f ca="1">IFERROR(__xludf.DUMMYFUNCTION("""COMPUTED_VALUE"""),91)</f>
        <v>91</v>
      </c>
      <c r="O511" s="22">
        <f ca="1">IFERROR(__xludf.DUMMYFUNCTION("""COMPUTED_VALUE"""),88)</f>
        <v>88</v>
      </c>
      <c r="P511" s="22">
        <f ca="1">IFERROR(__xludf.DUMMYFUNCTION("""COMPUTED_VALUE"""),88)</f>
        <v>88</v>
      </c>
      <c r="Q511" s="23">
        <f ca="1">IFERROR(__xludf.DUMMYFUNCTION("""COMPUTED_VALUE"""),595)</f>
        <v>595</v>
      </c>
      <c r="R511" s="23">
        <f ca="1">IFERROR(__xludf.DUMMYFUNCTION("""COMPUTED_VALUE"""),595)</f>
        <v>595</v>
      </c>
      <c r="S511" s="25" t="str">
        <f ca="1">IFERROR(__xludf.DUMMYFUNCTION("""COMPUTED_VALUE"""),"Nature`s Tools (Long Reach &amp; Boost contact moves)")</f>
        <v>Nature`s Tools (Long Reach &amp; Boost contact moves)</v>
      </c>
      <c r="T511" s="25"/>
      <c r="U511" s="25"/>
      <c r="V511" s="25" t="str">
        <f ca="1">IFERROR(__xludf.DUMMYFUNCTION("""COMPUTED_VALUE"""),"Pangorite")</f>
        <v>Pangorite</v>
      </c>
      <c r="W511" s="25"/>
      <c r="X511" s="25" t="str">
        <f ca="1">IFERROR(__xludf.DUMMYFUNCTION("""COMPUTED_VALUE"""),"Mental Herb")</f>
        <v>Mental Herb</v>
      </c>
      <c r="Y511" s="25"/>
    </row>
    <row r="512" spans="1:25" x14ac:dyDescent="0.25">
      <c r="A512" s="25" t="str">
        <f ca="1">IFERROR(__xludf.DUMMYFUNCTION("""COMPUTED_VALUE"""),"Mega Heliolisk")</f>
        <v>Mega Heliolisk</v>
      </c>
      <c r="B512" s="27">
        <f ca="1">IFERROR(__xludf.DUMMYFUNCTION("""COMPUTED_VALUE"""),319)</f>
        <v>319</v>
      </c>
      <c r="C512" s="26" t="str">
        <f ca="1">IFERROR(__xludf.DUMMYFUNCTION("""COMPUTED_VALUE"""),"Electric")</f>
        <v>Electric</v>
      </c>
      <c r="D512" s="3" t="str">
        <f ca="1">IFERROR(__xludf.DUMMYFUNCTION("""COMPUTED_VALUE"""),"Normal")</f>
        <v>Normal</v>
      </c>
      <c r="E512" s="17">
        <f ca="1">IFERROR(__xludf.DUMMYFUNCTION("""COMPUTED_VALUE"""),62)</f>
        <v>62</v>
      </c>
      <c r="F512" s="17">
        <f ca="1">IFERROR(__xludf.DUMMYFUNCTION("""COMPUTED_VALUE"""),62)</f>
        <v>62</v>
      </c>
      <c r="G512" s="18">
        <f ca="1">IFERROR(__xludf.DUMMYFUNCTION("""COMPUTED_VALUE"""),75)</f>
        <v>75</v>
      </c>
      <c r="H512" s="18">
        <f ca="1">IFERROR(__xludf.DUMMYFUNCTION("""COMPUTED_VALUE"""),75)</f>
        <v>75</v>
      </c>
      <c r="I512" s="19">
        <f ca="1">IFERROR(__xludf.DUMMYFUNCTION("""COMPUTED_VALUE"""),72)</f>
        <v>72</v>
      </c>
      <c r="J512" s="19">
        <f ca="1">IFERROR(__xludf.DUMMYFUNCTION("""COMPUTED_VALUE"""),72)</f>
        <v>72</v>
      </c>
      <c r="K512" s="20">
        <f ca="1">IFERROR(__xludf.DUMMYFUNCTION("""COMPUTED_VALUE"""),159)</f>
        <v>159</v>
      </c>
      <c r="L512" s="20">
        <f ca="1">IFERROR(__xludf.DUMMYFUNCTION("""COMPUTED_VALUE"""),159)</f>
        <v>159</v>
      </c>
      <c r="M512" s="21">
        <f ca="1">IFERROR(__xludf.DUMMYFUNCTION("""COMPUTED_VALUE"""),104)</f>
        <v>104</v>
      </c>
      <c r="N512" s="21">
        <f ca="1">IFERROR(__xludf.DUMMYFUNCTION("""COMPUTED_VALUE"""),104)</f>
        <v>104</v>
      </c>
      <c r="O512" s="22">
        <f ca="1">IFERROR(__xludf.DUMMYFUNCTION("""COMPUTED_VALUE"""),119)</f>
        <v>119</v>
      </c>
      <c r="P512" s="22">
        <f ca="1">IFERROR(__xludf.DUMMYFUNCTION("""COMPUTED_VALUE"""),119)</f>
        <v>119</v>
      </c>
      <c r="Q512" s="23">
        <f ca="1">IFERROR(__xludf.DUMMYFUNCTION("""COMPUTED_VALUE"""),591)</f>
        <v>591</v>
      </c>
      <c r="R512" s="23">
        <f ca="1">IFERROR(__xludf.DUMMYFUNCTION("""COMPUTED_VALUE"""),591)</f>
        <v>591</v>
      </c>
      <c r="S512" s="25" t="str">
        <f ca="1">IFERROR(__xludf.DUMMYFUNCTION("""COMPUTED_VALUE"""),"Drought")</f>
        <v>Drought</v>
      </c>
      <c r="T512" s="25"/>
      <c r="U512" s="25"/>
      <c r="V512" s="25" t="str">
        <f ca="1">IFERROR(__xludf.DUMMYFUNCTION("""COMPUTED_VALUE"""),"Heliolite")</f>
        <v>Heliolite</v>
      </c>
      <c r="W512" s="25"/>
      <c r="X512" s="25"/>
      <c r="Y512" s="25"/>
    </row>
    <row r="513" spans="1:25" x14ac:dyDescent="0.25">
      <c r="A513" s="25" t="str">
        <f ca="1">IFERROR(__xludf.DUMMYFUNCTION("""COMPUTED_VALUE"""),"Mega Falinks")</f>
        <v>Mega Falinks</v>
      </c>
      <c r="B513" s="27">
        <f ca="1">IFERROR(__xludf.DUMMYFUNCTION("""COMPUTED_VALUE"""),320)</f>
        <v>320</v>
      </c>
      <c r="C513" s="26" t="str">
        <f ca="1">IFERROR(__xludf.DUMMYFUNCTION("""COMPUTED_VALUE"""),"Fighting")</f>
        <v>Fighting</v>
      </c>
      <c r="D513" s="3" t="str">
        <f ca="1">IFERROR(__xludf.DUMMYFUNCTION("""COMPUTED_VALUE"""),"Steel")</f>
        <v>Steel</v>
      </c>
      <c r="E513" s="17">
        <f ca="1">IFERROR(__xludf.DUMMYFUNCTION("""COMPUTED_VALUE"""),65)</f>
        <v>65</v>
      </c>
      <c r="F513" s="17">
        <f ca="1">IFERROR(__xludf.DUMMYFUNCTION("""COMPUTED_VALUE"""),65)</f>
        <v>65</v>
      </c>
      <c r="G513" s="18">
        <f ca="1">IFERROR(__xludf.DUMMYFUNCTION("""COMPUTED_VALUE"""),135)</f>
        <v>135</v>
      </c>
      <c r="H513" s="18">
        <f ca="1">IFERROR(__xludf.DUMMYFUNCTION("""COMPUTED_VALUE"""),135)</f>
        <v>135</v>
      </c>
      <c r="I513" s="19">
        <f ca="1">IFERROR(__xludf.DUMMYFUNCTION("""COMPUTED_VALUE"""),135)</f>
        <v>135</v>
      </c>
      <c r="J513" s="19">
        <f ca="1">IFERROR(__xludf.DUMMYFUNCTION("""COMPUTED_VALUE"""),135)</f>
        <v>135</v>
      </c>
      <c r="K513" s="20">
        <f ca="1">IFERROR(__xludf.DUMMYFUNCTION("""COMPUTED_VALUE"""),70)</f>
        <v>70</v>
      </c>
      <c r="L513" s="20">
        <f ca="1">IFERROR(__xludf.DUMMYFUNCTION("""COMPUTED_VALUE"""),70)</f>
        <v>70</v>
      </c>
      <c r="M513" s="21">
        <f ca="1">IFERROR(__xludf.DUMMYFUNCTION("""COMPUTED_VALUE"""),65)</f>
        <v>65</v>
      </c>
      <c r="N513" s="21">
        <f ca="1">IFERROR(__xludf.DUMMYFUNCTION("""COMPUTED_VALUE"""),65)</f>
        <v>65</v>
      </c>
      <c r="O513" s="22">
        <f ca="1">IFERROR(__xludf.DUMMYFUNCTION("""COMPUTED_VALUE"""),100)</f>
        <v>100</v>
      </c>
      <c r="P513" s="22">
        <f ca="1">IFERROR(__xludf.DUMMYFUNCTION("""COMPUTED_VALUE"""),100)</f>
        <v>100</v>
      </c>
      <c r="Q513" s="23">
        <f ca="1">IFERROR(__xludf.DUMMYFUNCTION("""COMPUTED_VALUE"""),570)</f>
        <v>570</v>
      </c>
      <c r="R513" s="23">
        <f ca="1">IFERROR(__xludf.DUMMYFUNCTION("""COMPUTED_VALUE"""),570)</f>
        <v>570</v>
      </c>
      <c r="S513" s="25" t="str">
        <f ca="1">IFERROR(__xludf.DUMMYFUNCTION("""COMPUTED_VALUE"""),"Technician")</f>
        <v>Technician</v>
      </c>
      <c r="T513" s="25"/>
      <c r="U513" s="25"/>
      <c r="V513" s="25" t="str">
        <f ca="1">IFERROR(__xludf.DUMMYFUNCTION("""COMPUTED_VALUE"""),"Falinksite")</f>
        <v>Falinksite</v>
      </c>
      <c r="W513" s="25"/>
      <c r="X513" s="25"/>
      <c r="Y513" s="25"/>
    </row>
    <row r="514" spans="1:25" x14ac:dyDescent="0.25">
      <c r="A514" s="25" t="str">
        <f ca="1">IFERROR(__xludf.DUMMYFUNCTION("""COMPUTED_VALUE"""),"Mega Flygon")</f>
        <v>Mega Flygon</v>
      </c>
      <c r="B514" s="27">
        <f ca="1">IFERROR(__xludf.DUMMYFUNCTION("""COMPUTED_VALUE"""),323)</f>
        <v>323</v>
      </c>
      <c r="C514" s="26" t="str">
        <f ca="1">IFERROR(__xludf.DUMMYFUNCTION("""COMPUTED_VALUE"""),"Bug")</f>
        <v>Bug</v>
      </c>
      <c r="D514" s="3" t="str">
        <f ca="1">IFERROR(__xludf.DUMMYFUNCTION("""COMPUTED_VALUE"""),"Dragon")</f>
        <v>Dragon</v>
      </c>
      <c r="E514" s="17">
        <f ca="1">IFERROR(__xludf.DUMMYFUNCTION("""COMPUTED_VALUE"""),80)</f>
        <v>80</v>
      </c>
      <c r="F514" s="17">
        <f ca="1">IFERROR(__xludf.DUMMYFUNCTION("""COMPUTED_VALUE"""),80)</f>
        <v>80</v>
      </c>
      <c r="G514" s="18">
        <f ca="1">IFERROR(__xludf.DUMMYFUNCTION("""COMPUTED_VALUE"""),120)</f>
        <v>120</v>
      </c>
      <c r="H514" s="18">
        <f ca="1">IFERROR(__xludf.DUMMYFUNCTION("""COMPUTED_VALUE"""),120)</f>
        <v>120</v>
      </c>
      <c r="I514" s="19">
        <f ca="1">IFERROR(__xludf.DUMMYFUNCTION("""COMPUTED_VALUE"""),90)</f>
        <v>90</v>
      </c>
      <c r="J514" s="19">
        <f ca="1">IFERROR(__xludf.DUMMYFUNCTION("""COMPUTED_VALUE"""),90)</f>
        <v>90</v>
      </c>
      <c r="K514" s="20">
        <f ca="1">IFERROR(__xludf.DUMMYFUNCTION("""COMPUTED_VALUE"""),135)</f>
        <v>135</v>
      </c>
      <c r="L514" s="20">
        <f ca="1">IFERROR(__xludf.DUMMYFUNCTION("""COMPUTED_VALUE"""),135)</f>
        <v>135</v>
      </c>
      <c r="M514" s="21">
        <f ca="1">IFERROR(__xludf.DUMMYFUNCTION("""COMPUTED_VALUE"""),90)</f>
        <v>90</v>
      </c>
      <c r="N514" s="21">
        <f ca="1">IFERROR(__xludf.DUMMYFUNCTION("""COMPUTED_VALUE"""),90)</f>
        <v>90</v>
      </c>
      <c r="O514" s="22">
        <f ca="1">IFERROR(__xludf.DUMMYFUNCTION("""COMPUTED_VALUE"""),110)</f>
        <v>110</v>
      </c>
      <c r="P514" s="22">
        <f ca="1">IFERROR(__xludf.DUMMYFUNCTION("""COMPUTED_VALUE"""),110)</f>
        <v>110</v>
      </c>
      <c r="Q514" s="23">
        <f ca="1">IFERROR(__xludf.DUMMYFUNCTION("""COMPUTED_VALUE"""),625)</f>
        <v>625</v>
      </c>
      <c r="R514" s="23">
        <f ca="1">IFERROR(__xludf.DUMMYFUNCTION("""COMPUTED_VALUE"""),625)</f>
        <v>625</v>
      </c>
      <c r="S514" s="25" t="str">
        <f ca="1">IFERROR(__xludf.DUMMYFUNCTION("""COMPUTED_VALUE"""),"Burrower (Boosts Ground moves, like Dragon's Maw?)")</f>
        <v>Burrower (Boosts Ground moves, like Dragon's Maw?)</v>
      </c>
      <c r="T514" s="25"/>
      <c r="U514" s="25"/>
      <c r="V514" s="25" t="str">
        <f ca="1">IFERROR(__xludf.DUMMYFUNCTION("""COMPUTED_VALUE"""),"Flygonite")</f>
        <v>Flygonite</v>
      </c>
      <c r="W514" s="25"/>
      <c r="X514" s="25"/>
      <c r="Y514" s="25"/>
    </row>
    <row r="515" spans="1:25" x14ac:dyDescent="0.25">
      <c r="A515" s="25" t="str">
        <f ca="1">IFERROR(__xludf.DUMMYFUNCTION("""COMPUTED_VALUE"""),"Mega Tinkaton")</f>
        <v>Mega Tinkaton</v>
      </c>
      <c r="B515" s="27">
        <f ca="1">IFERROR(__xludf.DUMMYFUNCTION("""COMPUTED_VALUE"""),328)</f>
        <v>328</v>
      </c>
      <c r="C515" s="26" t="str">
        <f ca="1">IFERROR(__xludf.DUMMYFUNCTION("""COMPUTED_VALUE"""),"Fairy")</f>
        <v>Fairy</v>
      </c>
      <c r="D515" s="3" t="str">
        <f ca="1">IFERROR(__xludf.DUMMYFUNCTION("""COMPUTED_VALUE"""),"Steel")</f>
        <v>Steel</v>
      </c>
      <c r="E515" s="17">
        <f ca="1">IFERROR(__xludf.DUMMYFUNCTION("""COMPUTED_VALUE"""),90)</f>
        <v>90</v>
      </c>
      <c r="F515" s="17">
        <f ca="1">IFERROR(__xludf.DUMMYFUNCTION("""COMPUTED_VALUE"""),90)</f>
        <v>90</v>
      </c>
      <c r="G515" s="18">
        <f ca="1">IFERROR(__xludf.DUMMYFUNCTION("""COMPUTED_VALUE"""),85)</f>
        <v>85</v>
      </c>
      <c r="H515" s="18">
        <f ca="1">IFERROR(__xludf.DUMMYFUNCTION("""COMPUTED_VALUE"""),85)</f>
        <v>85</v>
      </c>
      <c r="I515" s="19">
        <f ca="1">IFERROR(__xludf.DUMMYFUNCTION("""COMPUTED_VALUE"""),112)</f>
        <v>112</v>
      </c>
      <c r="J515" s="19">
        <f ca="1">IFERROR(__xludf.DUMMYFUNCTION("""COMPUTED_VALUE"""),112)</f>
        <v>112</v>
      </c>
      <c r="K515" s="20">
        <f ca="1">IFERROR(__xludf.DUMMYFUNCTION("""COMPUTED_VALUE"""),80)</f>
        <v>80</v>
      </c>
      <c r="L515" s="20">
        <f ca="1">IFERROR(__xludf.DUMMYFUNCTION("""COMPUTED_VALUE"""),80)</f>
        <v>80</v>
      </c>
      <c r="M515" s="21">
        <f ca="1">IFERROR(__xludf.DUMMYFUNCTION("""COMPUTED_VALUE"""),135)</f>
        <v>135</v>
      </c>
      <c r="N515" s="21">
        <f ca="1">IFERROR(__xludf.DUMMYFUNCTION("""COMPUTED_VALUE"""),135)</f>
        <v>135</v>
      </c>
      <c r="O515" s="22">
        <f ca="1">IFERROR(__xludf.DUMMYFUNCTION("""COMPUTED_VALUE"""),114)</f>
        <v>114</v>
      </c>
      <c r="P515" s="22">
        <f ca="1">IFERROR(__xludf.DUMMYFUNCTION("""COMPUTED_VALUE"""),114)</f>
        <v>114</v>
      </c>
      <c r="Q515" s="23">
        <f ca="1">IFERROR(__xludf.DUMMYFUNCTION("""COMPUTED_VALUE"""),616)</f>
        <v>616</v>
      </c>
      <c r="R515" s="23">
        <f ca="1">IFERROR(__xludf.DUMMYFUNCTION("""COMPUTED_VALUE"""),616)</f>
        <v>616</v>
      </c>
      <c r="S515" s="25" t="str">
        <f ca="1">IFERROR(__xludf.DUMMYFUNCTION("""COMPUTED_VALUE"""),"Huge Power")</f>
        <v>Huge Power</v>
      </c>
      <c r="T515" s="25"/>
      <c r="U515" s="25"/>
      <c r="V515" s="25" t="str">
        <f ca="1">IFERROR(__xludf.DUMMYFUNCTION("""COMPUTED_VALUE"""),"Tinkatite")</f>
        <v>Tinkatite</v>
      </c>
      <c r="W515" s="25"/>
      <c r="X515" s="25"/>
      <c r="Y515" s="25"/>
    </row>
    <row r="516" spans="1:25" x14ac:dyDescent="0.25">
      <c r="A516" s="25" t="str">
        <f ca="1">IFERROR(__xludf.DUMMYFUNCTION("""COMPUTED_VALUE"""),"Mega Scrafty")</f>
        <v>Mega Scrafty</v>
      </c>
      <c r="B516" s="27">
        <f ca="1">IFERROR(__xludf.DUMMYFUNCTION("""COMPUTED_VALUE"""),330)</f>
        <v>330</v>
      </c>
      <c r="C516" s="26" t="str">
        <f ca="1">IFERROR(__xludf.DUMMYFUNCTION("""COMPUTED_VALUE"""),"Dark")</f>
        <v>Dark</v>
      </c>
      <c r="D516" s="3" t="str">
        <f ca="1">IFERROR(__xludf.DUMMYFUNCTION("""COMPUTED_VALUE"""),"Fighting")</f>
        <v>Fighting</v>
      </c>
      <c r="E516" s="17">
        <f ca="1">IFERROR(__xludf.DUMMYFUNCTION("""COMPUTED_VALUE"""),70)</f>
        <v>70</v>
      </c>
      <c r="F516" s="17">
        <f ca="1">IFERROR(__xludf.DUMMYFUNCTION("""COMPUTED_VALUE"""),70)</f>
        <v>70</v>
      </c>
      <c r="G516" s="18">
        <f ca="1">IFERROR(__xludf.DUMMYFUNCTION("""COMPUTED_VALUE"""),125)</f>
        <v>125</v>
      </c>
      <c r="H516" s="18">
        <f ca="1">IFERROR(__xludf.DUMMYFUNCTION("""COMPUTED_VALUE"""),125)</f>
        <v>125</v>
      </c>
      <c r="I516" s="19">
        <f ca="1">IFERROR(__xludf.DUMMYFUNCTION("""COMPUTED_VALUE"""),150)</f>
        <v>150</v>
      </c>
      <c r="J516" s="19">
        <f ca="1">IFERROR(__xludf.DUMMYFUNCTION("""COMPUTED_VALUE"""),150)</f>
        <v>150</v>
      </c>
      <c r="K516" s="20">
        <f ca="1">IFERROR(__xludf.DUMMYFUNCTION("""COMPUTED_VALUE"""),40)</f>
        <v>40</v>
      </c>
      <c r="L516" s="20">
        <f ca="1">IFERROR(__xludf.DUMMYFUNCTION("""COMPUTED_VALUE"""),40)</f>
        <v>40</v>
      </c>
      <c r="M516" s="21">
        <f ca="1">IFERROR(__xludf.DUMMYFUNCTION("""COMPUTED_VALUE"""),150)</f>
        <v>150</v>
      </c>
      <c r="N516" s="21">
        <f ca="1">IFERROR(__xludf.DUMMYFUNCTION("""COMPUTED_VALUE"""),150)</f>
        <v>150</v>
      </c>
      <c r="O516" s="22">
        <f ca="1">IFERROR(__xludf.DUMMYFUNCTION("""COMPUTED_VALUE"""),65)</f>
        <v>65</v>
      </c>
      <c r="P516" s="22">
        <f ca="1">IFERROR(__xludf.DUMMYFUNCTION("""COMPUTED_VALUE"""),65)</f>
        <v>65</v>
      </c>
      <c r="Q516" s="23">
        <f ca="1">IFERROR(__xludf.DUMMYFUNCTION("""COMPUTED_VALUE"""),600)</f>
        <v>600</v>
      </c>
      <c r="R516" s="23">
        <f ca="1">IFERROR(__xludf.DUMMYFUNCTION("""COMPUTED_VALUE"""),600)</f>
        <v>600</v>
      </c>
      <c r="S516" s="24" t="str">
        <f ca="1">IFERROR(__xludf.DUMMYFUNCTION("""COMPUTED_VALUE"""),"Thick Layers")</f>
        <v>Thick Layers</v>
      </c>
      <c r="T516" s="25"/>
      <c r="U516" s="25"/>
      <c r="V516" s="25" t="str">
        <f ca="1">IFERROR(__xludf.DUMMYFUNCTION("""COMPUTED_VALUE"""),"Scraftite")</f>
        <v>Scraftite</v>
      </c>
      <c r="W516" s="25"/>
      <c r="X516" s="25" t="str">
        <f ca="1">IFERROR(__xludf.DUMMYFUNCTION("""COMPUTED_VALUE"""),"Shed Shell")</f>
        <v>Shed Shell</v>
      </c>
      <c r="Y516" s="25"/>
    </row>
    <row r="517" spans="1:25" x14ac:dyDescent="0.25">
      <c r="A517" s="25" t="str">
        <f ca="1">IFERROR(__xludf.DUMMYFUNCTION("""COMPUTED_VALUE"""),"Mega Camerupt")</f>
        <v>Mega Camerupt</v>
      </c>
      <c r="B517" s="27">
        <f ca="1">IFERROR(__xludf.DUMMYFUNCTION("""COMPUTED_VALUE"""),335)</f>
        <v>335</v>
      </c>
      <c r="C517" s="26" t="str">
        <f ca="1">IFERROR(__xludf.DUMMYFUNCTION("""COMPUTED_VALUE"""),"Fire")</f>
        <v>Fire</v>
      </c>
      <c r="D517" s="3" t="str">
        <f ca="1">IFERROR(__xludf.DUMMYFUNCTION("""COMPUTED_VALUE"""),"Ground")</f>
        <v>Ground</v>
      </c>
      <c r="E517" s="17">
        <f ca="1">IFERROR(__xludf.DUMMYFUNCTION("""COMPUTED_VALUE"""),105)</f>
        <v>105</v>
      </c>
      <c r="F517" s="17">
        <f ca="1">IFERROR(__xludf.DUMMYFUNCTION("""COMPUTED_VALUE"""),35)</f>
        <v>35</v>
      </c>
      <c r="G517" s="18">
        <f ca="1">IFERROR(__xludf.DUMMYFUNCTION("""COMPUTED_VALUE"""),115)</f>
        <v>115</v>
      </c>
      <c r="H517" s="18">
        <f ca="1">IFERROR(__xludf.DUMMYFUNCTION("""COMPUTED_VALUE"""),-5)</f>
        <v>-5</v>
      </c>
      <c r="I517" s="19">
        <f ca="1">IFERROR(__xludf.DUMMYFUNCTION("""COMPUTED_VALUE"""),100)</f>
        <v>100</v>
      </c>
      <c r="J517" s="19">
        <f ca="1">IFERROR(__xludf.DUMMYFUNCTION("""COMPUTED_VALUE"""),0)</f>
        <v>0</v>
      </c>
      <c r="K517" s="20">
        <f ca="1">IFERROR(__xludf.DUMMYFUNCTION("""COMPUTED_VALUE"""),140)</f>
        <v>140</v>
      </c>
      <c r="L517" s="20">
        <f ca="1">IFERROR(__xludf.DUMMYFUNCTION("""COMPUTED_VALUE"""),-5)</f>
        <v>-5</v>
      </c>
      <c r="M517" s="21">
        <f ca="1">IFERROR(__xludf.DUMMYFUNCTION("""COMPUTED_VALUE"""),105)</f>
        <v>105</v>
      </c>
      <c r="N517" s="21">
        <f ca="1">IFERROR(__xludf.DUMMYFUNCTION("""COMPUTED_VALUE"""),0)</f>
        <v>0</v>
      </c>
      <c r="O517" s="22">
        <f ca="1">IFERROR(__xludf.DUMMYFUNCTION("""COMPUTED_VALUE"""),20)</f>
        <v>20</v>
      </c>
      <c r="P517" s="22">
        <f ca="1">IFERROR(__xludf.DUMMYFUNCTION("""COMPUTED_VALUE"""),0)</f>
        <v>0</v>
      </c>
      <c r="Q517" s="23">
        <f ca="1">IFERROR(__xludf.DUMMYFUNCTION("""COMPUTED_VALUE"""),585)</f>
        <v>585</v>
      </c>
      <c r="R517" s="23">
        <f ca="1">IFERROR(__xludf.DUMMYFUNCTION("""COMPUTED_VALUE"""),25)</f>
        <v>25</v>
      </c>
      <c r="S517" s="25" t="str">
        <f ca="1">IFERROR(__xludf.DUMMYFUNCTION("""COMPUTED_VALUE"""),"Sheer Force")</f>
        <v>Sheer Force</v>
      </c>
      <c r="T517" s="25"/>
      <c r="U517" s="25"/>
      <c r="V517" s="25" t="str">
        <f ca="1">IFERROR(__xludf.DUMMYFUNCTION("""COMPUTED_VALUE"""),"Cameruptite")</f>
        <v>Cameruptite</v>
      </c>
      <c r="W517" s="25"/>
      <c r="X517" s="25"/>
      <c r="Y517" s="25"/>
    </row>
    <row r="518" spans="1:25" x14ac:dyDescent="0.25">
      <c r="A518" s="25" t="str">
        <f ca="1">IFERROR(__xludf.DUMMYFUNCTION("""COMPUTED_VALUE"""),"Mega Gyarados")</f>
        <v>Mega Gyarados</v>
      </c>
      <c r="B518" s="27">
        <f ca="1">IFERROR(__xludf.DUMMYFUNCTION("""COMPUTED_VALUE"""),343)</f>
        <v>343</v>
      </c>
      <c r="C518" s="26" t="str">
        <f ca="1">IFERROR(__xludf.DUMMYFUNCTION("""COMPUTED_VALUE"""),"Water")</f>
        <v>Water</v>
      </c>
      <c r="D518" s="3" t="str">
        <f ca="1">IFERROR(__xludf.DUMMYFUNCTION("""COMPUTED_VALUE"""),"Dark")</f>
        <v>Dark</v>
      </c>
      <c r="E518" s="17">
        <f ca="1">IFERROR(__xludf.DUMMYFUNCTION("""COMPUTED_VALUE"""),95)</f>
        <v>95</v>
      </c>
      <c r="F518" s="17">
        <f ca="1">IFERROR(__xludf.DUMMYFUNCTION("""COMPUTED_VALUE"""),0)</f>
        <v>0</v>
      </c>
      <c r="G518" s="18">
        <f ca="1">IFERROR(__xludf.DUMMYFUNCTION("""COMPUTED_VALUE"""),155)</f>
        <v>155</v>
      </c>
      <c r="H518" s="18">
        <f ca="1">IFERROR(__xludf.DUMMYFUNCTION("""COMPUTED_VALUE"""),0)</f>
        <v>0</v>
      </c>
      <c r="I518" s="19">
        <f ca="1">IFERROR(__xludf.DUMMYFUNCTION("""COMPUTED_VALUE"""),109)</f>
        <v>109</v>
      </c>
      <c r="J518" s="19">
        <f ca="1">IFERROR(__xludf.DUMMYFUNCTION("""COMPUTED_VALUE"""),0)</f>
        <v>0</v>
      </c>
      <c r="K518" s="20">
        <f ca="1">IFERROR(__xludf.DUMMYFUNCTION("""COMPUTED_VALUE"""),70)</f>
        <v>70</v>
      </c>
      <c r="L518" s="20">
        <f ca="1">IFERROR(__xludf.DUMMYFUNCTION("""COMPUTED_VALUE"""),0)</f>
        <v>0</v>
      </c>
      <c r="M518" s="21">
        <f ca="1">IFERROR(__xludf.DUMMYFUNCTION("""COMPUTED_VALUE"""),130)</f>
        <v>130</v>
      </c>
      <c r="N518" s="21">
        <f ca="1">IFERROR(__xludf.DUMMYFUNCTION("""COMPUTED_VALUE"""),0)</f>
        <v>0</v>
      </c>
      <c r="O518" s="22">
        <f ca="1">IFERROR(__xludf.DUMMYFUNCTION("""COMPUTED_VALUE"""),81)</f>
        <v>81</v>
      </c>
      <c r="P518" s="22">
        <f ca="1">IFERROR(__xludf.DUMMYFUNCTION("""COMPUTED_VALUE"""),0)</f>
        <v>0</v>
      </c>
      <c r="Q518" s="23">
        <f ca="1">IFERROR(__xludf.DUMMYFUNCTION("""COMPUTED_VALUE"""),640)</f>
        <v>640</v>
      </c>
      <c r="R518" s="23">
        <f ca="1">IFERROR(__xludf.DUMMYFUNCTION("""COMPUTED_VALUE"""),0)</f>
        <v>0</v>
      </c>
      <c r="S518" s="25" t="str">
        <f ca="1">IFERROR(__xludf.DUMMYFUNCTION("""COMPUTED_VALUE"""),"Mold Breaker")</f>
        <v>Mold Breaker</v>
      </c>
      <c r="T518" s="25"/>
      <c r="U518" s="25"/>
      <c r="V518" s="25" t="str">
        <f ca="1">IFERROR(__xludf.DUMMYFUNCTION("""COMPUTED_VALUE"""),"Gyaradosite")</f>
        <v>Gyaradosite</v>
      </c>
      <c r="W518" s="25"/>
      <c r="X518" s="25"/>
      <c r="Y518" s="25"/>
    </row>
    <row r="519" spans="1:25" x14ac:dyDescent="0.25">
      <c r="A519" s="25" t="str">
        <f ca="1">IFERROR(__xludf.DUMMYFUNCTION("""COMPUTED_VALUE"""),"Mega Grimmsnarl")</f>
        <v>Mega Grimmsnarl</v>
      </c>
      <c r="B519" s="27">
        <f ca="1">IFERROR(__xludf.DUMMYFUNCTION("""COMPUTED_VALUE"""),357)</f>
        <v>357</v>
      </c>
      <c r="C519" s="26" t="str">
        <f ca="1">IFERROR(__xludf.DUMMYFUNCTION("""COMPUTED_VALUE"""),"Dark")</f>
        <v>Dark</v>
      </c>
      <c r="D519" s="3" t="str">
        <f ca="1">IFERROR(__xludf.DUMMYFUNCTION("""COMPUTED_VALUE"""),"Fairy")</f>
        <v>Fairy</v>
      </c>
      <c r="E519" s="17">
        <f ca="1">IFERROR(__xludf.DUMMYFUNCTION("""COMPUTED_VALUE"""),95)</f>
        <v>95</v>
      </c>
      <c r="F519" s="17">
        <f ca="1">IFERROR(__xludf.DUMMYFUNCTION("""COMPUTED_VALUE"""),95)</f>
        <v>95</v>
      </c>
      <c r="G519" s="18">
        <f ca="1">IFERROR(__xludf.DUMMYFUNCTION("""COMPUTED_VALUE"""),160)</f>
        <v>160</v>
      </c>
      <c r="H519" s="18">
        <f ca="1">IFERROR(__xludf.DUMMYFUNCTION("""COMPUTED_VALUE"""),160)</f>
        <v>160</v>
      </c>
      <c r="I519" s="19">
        <f ca="1">IFERROR(__xludf.DUMMYFUNCTION("""COMPUTED_VALUE"""),105)</f>
        <v>105</v>
      </c>
      <c r="J519" s="19">
        <f ca="1">IFERROR(__xludf.DUMMYFUNCTION("""COMPUTED_VALUE"""),105)</f>
        <v>105</v>
      </c>
      <c r="K519" s="20">
        <f ca="1">IFERROR(__xludf.DUMMYFUNCTION("""COMPUTED_VALUE"""),85)</f>
        <v>85</v>
      </c>
      <c r="L519" s="20">
        <f ca="1">IFERROR(__xludf.DUMMYFUNCTION("""COMPUTED_VALUE"""),85)</f>
        <v>85</v>
      </c>
      <c r="M519" s="21">
        <f ca="1">IFERROR(__xludf.DUMMYFUNCTION("""COMPUTED_VALUE"""),95)</f>
        <v>95</v>
      </c>
      <c r="N519" s="21">
        <f ca="1">IFERROR(__xludf.DUMMYFUNCTION("""COMPUTED_VALUE"""),95)</f>
        <v>95</v>
      </c>
      <c r="O519" s="22">
        <f ca="1">IFERROR(__xludf.DUMMYFUNCTION("""COMPUTED_VALUE"""),70)</f>
        <v>70</v>
      </c>
      <c r="P519" s="22">
        <f ca="1">IFERROR(__xludf.DUMMYFUNCTION("""COMPUTED_VALUE"""),70)</f>
        <v>70</v>
      </c>
      <c r="Q519" s="23">
        <f ca="1">IFERROR(__xludf.DUMMYFUNCTION("""COMPUTED_VALUE"""),610)</f>
        <v>610</v>
      </c>
      <c r="R519" s="23">
        <f ca="1">IFERROR(__xludf.DUMMYFUNCTION("""COMPUTED_VALUE"""),610)</f>
        <v>610</v>
      </c>
      <c r="S519" s="25" t="str">
        <f ca="1">IFERROR(__xludf.DUMMYFUNCTION("""COMPUTED_VALUE"""),"Unseen Fist")</f>
        <v>Unseen Fist</v>
      </c>
      <c r="T519" s="25"/>
      <c r="U519" s="25"/>
      <c r="V519" s="25" t="str">
        <f ca="1">IFERROR(__xludf.DUMMYFUNCTION("""COMPUTED_VALUE"""),"Grimmsnarlite")</f>
        <v>Grimmsnarlite</v>
      </c>
      <c r="W519" s="25"/>
      <c r="X519" s="25"/>
      <c r="Y519" s="25"/>
    </row>
    <row r="520" spans="1:25" x14ac:dyDescent="0.25">
      <c r="A520" s="25" t="str">
        <f ca="1">IFERROR(__xludf.DUMMYFUNCTION("""COMPUTED_VALUE"""),"Mega Altaria")</f>
        <v>Mega Altaria</v>
      </c>
      <c r="B520" s="27">
        <f ca="1">IFERROR(__xludf.DUMMYFUNCTION("""COMPUTED_VALUE"""),359)</f>
        <v>359</v>
      </c>
      <c r="C520" s="26" t="str">
        <f ca="1">IFERROR(__xludf.DUMMYFUNCTION("""COMPUTED_VALUE"""),"Dragon")</f>
        <v>Dragon</v>
      </c>
      <c r="D520" s="3" t="str">
        <f ca="1">IFERROR(__xludf.DUMMYFUNCTION("""COMPUTED_VALUE"""),"Fairy")</f>
        <v>Fairy</v>
      </c>
      <c r="E520" s="17">
        <f ca="1">IFERROR(__xludf.DUMMYFUNCTION("""COMPUTED_VALUE"""),105)</f>
        <v>105</v>
      </c>
      <c r="F520" s="17">
        <f ca="1">IFERROR(__xludf.DUMMYFUNCTION("""COMPUTED_VALUE"""),30)</f>
        <v>30</v>
      </c>
      <c r="G520" s="18">
        <f ca="1">IFERROR(__xludf.DUMMYFUNCTION("""COMPUTED_VALUE"""),110)</f>
        <v>110</v>
      </c>
      <c r="H520" s="18">
        <f ca="1">IFERROR(__xludf.DUMMYFUNCTION("""COMPUTED_VALUE"""),0)</f>
        <v>0</v>
      </c>
      <c r="I520" s="19">
        <f ca="1">IFERROR(__xludf.DUMMYFUNCTION("""COMPUTED_VALUE"""),110)</f>
        <v>110</v>
      </c>
      <c r="J520" s="19">
        <f ca="1">IFERROR(__xludf.DUMMYFUNCTION("""COMPUTED_VALUE"""),0)</f>
        <v>0</v>
      </c>
      <c r="K520" s="20">
        <f ca="1">IFERROR(__xludf.DUMMYFUNCTION("""COMPUTED_VALUE"""),120)</f>
        <v>120</v>
      </c>
      <c r="L520" s="20">
        <f ca="1">IFERROR(__xludf.DUMMYFUNCTION("""COMPUTED_VALUE"""),10)</f>
        <v>10</v>
      </c>
      <c r="M520" s="21">
        <f ca="1">IFERROR(__xludf.DUMMYFUNCTION("""COMPUTED_VALUE"""),105)</f>
        <v>105</v>
      </c>
      <c r="N520" s="21">
        <f ca="1">IFERROR(__xludf.DUMMYFUNCTION("""COMPUTED_VALUE"""),0)</f>
        <v>0</v>
      </c>
      <c r="O520" s="22">
        <f ca="1">IFERROR(__xludf.DUMMYFUNCTION("""COMPUTED_VALUE"""),80)</f>
        <v>80</v>
      </c>
      <c r="P520" s="22">
        <f ca="1">IFERROR(__xludf.DUMMYFUNCTION("""COMPUTED_VALUE"""),0)</f>
        <v>0</v>
      </c>
      <c r="Q520" s="23">
        <f ca="1">IFERROR(__xludf.DUMMYFUNCTION("""COMPUTED_VALUE"""),630)</f>
        <v>630</v>
      </c>
      <c r="R520" s="23">
        <f ca="1">IFERROR(__xludf.DUMMYFUNCTION("""COMPUTED_VALUE"""),40)</f>
        <v>40</v>
      </c>
      <c r="S520" s="25" t="str">
        <f ca="1">IFERROR(__xludf.DUMMYFUNCTION("""COMPUTED_VALUE"""),"Pixilate")</f>
        <v>Pixilate</v>
      </c>
      <c r="T520" s="25"/>
      <c r="U520" s="25"/>
      <c r="V520" s="25" t="str">
        <f ca="1">IFERROR(__xludf.DUMMYFUNCTION("""COMPUTED_VALUE"""),"Altarianite")</f>
        <v>Altarianite</v>
      </c>
      <c r="W520" s="25"/>
      <c r="X520" s="25"/>
      <c r="Y520" s="25"/>
    </row>
    <row r="521" spans="1:25" x14ac:dyDescent="0.25">
      <c r="A521" s="25" t="str">
        <f ca="1">IFERROR(__xludf.DUMMYFUNCTION("""COMPUTED_VALUE"""),"Mega Lapras")</f>
        <v>Mega Lapras</v>
      </c>
      <c r="B521" s="27">
        <f ca="1">IFERROR(__xludf.DUMMYFUNCTION("""COMPUTED_VALUE"""),365)</f>
        <v>365</v>
      </c>
      <c r="C521" s="26" t="str">
        <f ca="1">IFERROR(__xludf.DUMMYFUNCTION("""COMPUTED_VALUE"""),"Water")</f>
        <v>Water</v>
      </c>
      <c r="D521" s="3" t="str">
        <f ca="1">IFERROR(__xludf.DUMMYFUNCTION("""COMPUTED_VALUE"""),"Ice")</f>
        <v>Ice</v>
      </c>
      <c r="E521" s="17">
        <f ca="1">IFERROR(__xludf.DUMMYFUNCTION("""COMPUTED_VALUE"""),130)</f>
        <v>130</v>
      </c>
      <c r="F521" s="17">
        <f ca="1">IFERROR(__xludf.DUMMYFUNCTION("""COMPUTED_VALUE"""),130)</f>
        <v>130</v>
      </c>
      <c r="G521" s="18">
        <f ca="1">IFERROR(__xludf.DUMMYFUNCTION("""COMPUTED_VALUE"""),95)</f>
        <v>95</v>
      </c>
      <c r="H521" s="18">
        <f ca="1">IFERROR(__xludf.DUMMYFUNCTION("""COMPUTED_VALUE"""),95)</f>
        <v>95</v>
      </c>
      <c r="I521" s="19">
        <f ca="1">IFERROR(__xludf.DUMMYFUNCTION("""COMPUTED_VALUE"""),110)</f>
        <v>110</v>
      </c>
      <c r="J521" s="19">
        <f ca="1">IFERROR(__xludf.DUMMYFUNCTION("""COMPUTED_VALUE"""),110)</f>
        <v>110</v>
      </c>
      <c r="K521" s="20">
        <f ca="1">IFERROR(__xludf.DUMMYFUNCTION("""COMPUTED_VALUE"""),105)</f>
        <v>105</v>
      </c>
      <c r="L521" s="20">
        <f ca="1">IFERROR(__xludf.DUMMYFUNCTION("""COMPUTED_VALUE"""),105)</f>
        <v>105</v>
      </c>
      <c r="M521" s="21">
        <f ca="1">IFERROR(__xludf.DUMMYFUNCTION("""COMPUTED_VALUE"""),135)</f>
        <v>135</v>
      </c>
      <c r="N521" s="21">
        <f ca="1">IFERROR(__xludf.DUMMYFUNCTION("""COMPUTED_VALUE"""),135)</f>
        <v>135</v>
      </c>
      <c r="O521" s="22">
        <f ca="1">IFERROR(__xludf.DUMMYFUNCTION("""COMPUTED_VALUE"""),60)</f>
        <v>60</v>
      </c>
      <c r="P521" s="22">
        <f ca="1">IFERROR(__xludf.DUMMYFUNCTION("""COMPUTED_VALUE"""),60)</f>
        <v>60</v>
      </c>
      <c r="Q521" s="23">
        <f ca="1">IFERROR(__xludf.DUMMYFUNCTION("""COMPUTED_VALUE"""),635)</f>
        <v>635</v>
      </c>
      <c r="R521" s="23">
        <f ca="1">IFERROR(__xludf.DUMMYFUNCTION("""COMPUTED_VALUE"""),635)</f>
        <v>635</v>
      </c>
      <c r="S521" s="25" t="str">
        <f ca="1">IFERROR(__xludf.DUMMYFUNCTION("""COMPUTED_VALUE"""),"Drizzle")</f>
        <v>Drizzle</v>
      </c>
      <c r="T521" s="25"/>
      <c r="U521" s="25"/>
      <c r="V521" s="25" t="str">
        <f ca="1">IFERROR(__xludf.DUMMYFUNCTION("""COMPUTED_VALUE"""),"Laprasite")</f>
        <v>Laprasite</v>
      </c>
      <c r="W521" s="25" t="str">
        <f ca="1">IFERROR(__xludf.DUMMYFUNCTION("""COMPUTED_VALUE"""),"Mystic Water")</f>
        <v>Mystic Water</v>
      </c>
      <c r="X521" s="25" t="str">
        <f ca="1">IFERROR(__xludf.DUMMYFUNCTION("""COMPUTED_VALUE"""),"Mystic Water")</f>
        <v>Mystic Water</v>
      </c>
      <c r="Y521" s="25"/>
    </row>
    <row r="522" spans="1:25" x14ac:dyDescent="0.25">
      <c r="A522" s="25" t="str">
        <f ca="1">IFERROR(__xludf.DUMMYFUNCTION("""COMPUTED_VALUE"""),"Mega Victreebel")</f>
        <v>Mega Victreebel</v>
      </c>
      <c r="B522" s="27">
        <f ca="1">IFERROR(__xludf.DUMMYFUNCTION("""COMPUTED_VALUE"""),370)</f>
        <v>370</v>
      </c>
      <c r="C522" s="26" t="str">
        <f ca="1">IFERROR(__xludf.DUMMYFUNCTION("""COMPUTED_VALUE"""),"Grass")</f>
        <v>Grass</v>
      </c>
      <c r="D522" s="3" t="str">
        <f ca="1">IFERROR(__xludf.DUMMYFUNCTION("""COMPUTED_VALUE"""),"Poison")</f>
        <v>Poison</v>
      </c>
      <c r="E522" s="17">
        <f ca="1">IFERROR(__xludf.DUMMYFUNCTION("""COMPUTED_VALUE"""),80)</f>
        <v>80</v>
      </c>
      <c r="F522" s="17">
        <f ca="1">IFERROR(__xludf.DUMMYFUNCTION("""COMPUTED_VALUE"""),80)</f>
        <v>80</v>
      </c>
      <c r="G522" s="18">
        <f ca="1">IFERROR(__xludf.DUMMYFUNCTION("""COMPUTED_VALUE"""),125)</f>
        <v>125</v>
      </c>
      <c r="H522" s="18">
        <f ca="1">IFERROR(__xludf.DUMMYFUNCTION("""COMPUTED_VALUE"""),125)</f>
        <v>125</v>
      </c>
      <c r="I522" s="19">
        <f ca="1">IFERROR(__xludf.DUMMYFUNCTION("""COMPUTED_VALUE"""),100)</f>
        <v>100</v>
      </c>
      <c r="J522" s="19">
        <f ca="1">IFERROR(__xludf.DUMMYFUNCTION("""COMPUTED_VALUE"""),100)</f>
        <v>100</v>
      </c>
      <c r="K522" s="20">
        <f ca="1">IFERROR(__xludf.DUMMYFUNCTION("""COMPUTED_VALUE"""),125)</f>
        <v>125</v>
      </c>
      <c r="L522" s="20">
        <f ca="1">IFERROR(__xludf.DUMMYFUNCTION("""COMPUTED_VALUE"""),125)</f>
        <v>125</v>
      </c>
      <c r="M522" s="21">
        <f ca="1">IFERROR(__xludf.DUMMYFUNCTION("""COMPUTED_VALUE"""),105)</f>
        <v>105</v>
      </c>
      <c r="N522" s="21">
        <f ca="1">IFERROR(__xludf.DUMMYFUNCTION("""COMPUTED_VALUE"""),105)</f>
        <v>105</v>
      </c>
      <c r="O522" s="22">
        <f ca="1">IFERROR(__xludf.DUMMYFUNCTION("""COMPUTED_VALUE"""),55)</f>
        <v>55</v>
      </c>
      <c r="P522" s="22">
        <f ca="1">IFERROR(__xludf.DUMMYFUNCTION("""COMPUTED_VALUE"""),55)</f>
        <v>55</v>
      </c>
      <c r="Q522" s="23">
        <f ca="1">IFERROR(__xludf.DUMMYFUNCTION("""COMPUTED_VALUE"""),590)</f>
        <v>590</v>
      </c>
      <c r="R522" s="23">
        <f ca="1">IFERROR(__xludf.DUMMYFUNCTION("""COMPUTED_VALUE"""),590)</f>
        <v>590</v>
      </c>
      <c r="S522" s="25" t="str">
        <f ca="1">IFERROR(__xludf.DUMMYFUNCTION("""COMPUTED_VALUE"""),"Corrosion (Poison SE against Steel)")</f>
        <v>Corrosion (Poison SE against Steel)</v>
      </c>
      <c r="T522" s="25"/>
      <c r="U522" s="25"/>
      <c r="V522" s="25" t="str">
        <f ca="1">IFERROR(__xludf.DUMMYFUNCTION("""COMPUTED_VALUE"""),"Victreebite")</f>
        <v>Victreebite</v>
      </c>
      <c r="W522" s="25"/>
      <c r="X522" s="25"/>
      <c r="Y522" s="25"/>
    </row>
    <row r="523" spans="1:25" x14ac:dyDescent="0.25">
      <c r="A523" s="25" t="str">
        <f ca="1">IFERROR(__xludf.DUMMYFUNCTION("""COMPUTED_VALUE"""),"Mega Aerodactyl")</f>
        <v>Mega Aerodactyl</v>
      </c>
      <c r="B523" s="27">
        <f ca="1">IFERROR(__xludf.DUMMYFUNCTION("""COMPUTED_VALUE"""),382)</f>
        <v>382</v>
      </c>
      <c r="C523" s="26" t="str">
        <f ca="1">IFERROR(__xludf.DUMMYFUNCTION("""COMPUTED_VALUE"""),"Rock")</f>
        <v>Rock</v>
      </c>
      <c r="D523" s="3" t="str">
        <f ca="1">IFERROR(__xludf.DUMMYFUNCTION("""COMPUTED_VALUE"""),"Flying")</f>
        <v>Flying</v>
      </c>
      <c r="E523" s="17">
        <f ca="1">IFERROR(__xludf.DUMMYFUNCTION("""COMPUTED_VALUE"""),80)</f>
        <v>80</v>
      </c>
      <c r="F523" s="17">
        <f ca="1">IFERROR(__xludf.DUMMYFUNCTION("""COMPUTED_VALUE"""),0)</f>
        <v>0</v>
      </c>
      <c r="G523" s="18">
        <f ca="1">IFERROR(__xludf.DUMMYFUNCTION("""COMPUTED_VALUE"""),135)</f>
        <v>135</v>
      </c>
      <c r="H523" s="18">
        <f ca="1">IFERROR(__xludf.DUMMYFUNCTION("""COMPUTED_VALUE"""),0)</f>
        <v>0</v>
      </c>
      <c r="I523" s="19">
        <f ca="1">IFERROR(__xludf.DUMMYFUNCTION("""COMPUTED_VALUE"""),85)</f>
        <v>85</v>
      </c>
      <c r="J523" s="19">
        <f ca="1">IFERROR(__xludf.DUMMYFUNCTION("""COMPUTED_VALUE"""),0)</f>
        <v>0</v>
      </c>
      <c r="K523" s="20">
        <f ca="1">IFERROR(__xludf.DUMMYFUNCTION("""COMPUTED_VALUE"""),70)</f>
        <v>70</v>
      </c>
      <c r="L523" s="20">
        <f ca="1">IFERROR(__xludf.DUMMYFUNCTION("""COMPUTED_VALUE"""),0)</f>
        <v>0</v>
      </c>
      <c r="M523" s="21">
        <f ca="1">IFERROR(__xludf.DUMMYFUNCTION("""COMPUTED_VALUE"""),95)</f>
        <v>95</v>
      </c>
      <c r="N523" s="21">
        <f ca="1">IFERROR(__xludf.DUMMYFUNCTION("""COMPUTED_VALUE"""),0)</f>
        <v>0</v>
      </c>
      <c r="O523" s="22">
        <f ca="1">IFERROR(__xludf.DUMMYFUNCTION("""COMPUTED_VALUE"""),150)</f>
        <v>150</v>
      </c>
      <c r="P523" s="22">
        <f ca="1">IFERROR(__xludf.DUMMYFUNCTION("""COMPUTED_VALUE"""),0)</f>
        <v>0</v>
      </c>
      <c r="Q523" s="23">
        <f ca="1">IFERROR(__xludf.DUMMYFUNCTION("""COMPUTED_VALUE"""),615)</f>
        <v>615</v>
      </c>
      <c r="R523" s="23">
        <f ca="1">IFERROR(__xludf.DUMMYFUNCTION("""COMPUTED_VALUE"""),0)</f>
        <v>0</v>
      </c>
      <c r="S523" s="25" t="str">
        <f ca="1">IFERROR(__xludf.DUMMYFUNCTION("""COMPUTED_VALUE"""),"Tough Claws")</f>
        <v>Tough Claws</v>
      </c>
      <c r="T523" s="25"/>
      <c r="U523" s="25"/>
      <c r="V523" s="25" t="str">
        <f ca="1">IFERROR(__xludf.DUMMYFUNCTION("""COMPUTED_VALUE"""),"Aerodactylite")</f>
        <v>Aerodactylite</v>
      </c>
      <c r="W523" s="25"/>
      <c r="X523" s="25"/>
      <c r="Y523" s="25"/>
    </row>
    <row r="524" spans="1:25" x14ac:dyDescent="0.25">
      <c r="A524" s="25" t="str">
        <f ca="1">IFERROR(__xludf.DUMMYFUNCTION("""COMPUTED_VALUE"""),"Mega Abomasnow")</f>
        <v>Mega Abomasnow</v>
      </c>
      <c r="B524" s="27">
        <f ca="1">IFERROR(__xludf.DUMMYFUNCTION("""COMPUTED_VALUE"""),393)</f>
        <v>393</v>
      </c>
      <c r="C524" s="26" t="str">
        <f ca="1">IFERROR(__xludf.DUMMYFUNCTION("""COMPUTED_VALUE"""),"Grass")</f>
        <v>Grass</v>
      </c>
      <c r="D524" s="3" t="str">
        <f ca="1">IFERROR(__xludf.DUMMYFUNCTION("""COMPUTED_VALUE"""),"Ice")</f>
        <v>Ice</v>
      </c>
      <c r="E524" s="17">
        <f ca="1">IFERROR(__xludf.DUMMYFUNCTION("""COMPUTED_VALUE"""),100)</f>
        <v>100</v>
      </c>
      <c r="F524" s="17">
        <f ca="1">IFERROR(__xludf.DUMMYFUNCTION("""COMPUTED_VALUE"""),10)</f>
        <v>10</v>
      </c>
      <c r="G524" s="18">
        <f ca="1">IFERROR(__xludf.DUMMYFUNCTION("""COMPUTED_VALUE"""),132)</f>
        <v>132</v>
      </c>
      <c r="H524" s="18">
        <f ca="1">IFERROR(__xludf.DUMMYFUNCTION("""COMPUTED_VALUE"""),0)</f>
        <v>0</v>
      </c>
      <c r="I524" s="19">
        <f ca="1">IFERROR(__xludf.DUMMYFUNCTION("""COMPUTED_VALUE"""),115)</f>
        <v>115</v>
      </c>
      <c r="J524" s="19">
        <f ca="1">IFERROR(__xludf.DUMMYFUNCTION("""COMPUTED_VALUE"""),10)</f>
        <v>10</v>
      </c>
      <c r="K524" s="20">
        <f ca="1">IFERROR(__xludf.DUMMYFUNCTION("""COMPUTED_VALUE"""),132)</f>
        <v>132</v>
      </c>
      <c r="L524" s="20">
        <f ca="1">IFERROR(__xludf.DUMMYFUNCTION("""COMPUTED_VALUE"""),0)</f>
        <v>0</v>
      </c>
      <c r="M524" s="21">
        <f ca="1">IFERROR(__xludf.DUMMYFUNCTION("""COMPUTED_VALUE"""),115)</f>
        <v>115</v>
      </c>
      <c r="N524" s="21">
        <f ca="1">IFERROR(__xludf.DUMMYFUNCTION("""COMPUTED_VALUE"""),10)</f>
        <v>10</v>
      </c>
      <c r="O524" s="22">
        <f ca="1">IFERROR(__xludf.DUMMYFUNCTION("""COMPUTED_VALUE"""),30)</f>
        <v>30</v>
      </c>
      <c r="P524" s="22">
        <f ca="1">IFERROR(__xludf.DUMMYFUNCTION("""COMPUTED_VALUE"""),0)</f>
        <v>0</v>
      </c>
      <c r="Q524" s="23">
        <f ca="1">IFERROR(__xludf.DUMMYFUNCTION("""COMPUTED_VALUE"""),624)</f>
        <v>624</v>
      </c>
      <c r="R524" s="23">
        <f ca="1">IFERROR(__xludf.DUMMYFUNCTION("""COMPUTED_VALUE"""),30)</f>
        <v>30</v>
      </c>
      <c r="S524" s="25" t="str">
        <f ca="1">IFERROR(__xludf.DUMMYFUNCTION("""COMPUTED_VALUE"""),"Snow Warning")</f>
        <v>Snow Warning</v>
      </c>
      <c r="T524" s="25"/>
      <c r="U524" s="25"/>
      <c r="V524" s="25" t="str">
        <f ca="1">IFERROR(__xludf.DUMMYFUNCTION("""COMPUTED_VALUE"""),"Abomasite")</f>
        <v>Abomasite</v>
      </c>
      <c r="W524" s="25"/>
      <c r="X524" s="25" t="str">
        <f ca="1">IFERROR(__xludf.DUMMYFUNCTION("""COMPUTED_VALUE"""),"Never-Melt Ice")</f>
        <v>Never-Melt Ice</v>
      </c>
      <c r="Y524" s="25"/>
    </row>
    <row r="525" spans="1:25" x14ac:dyDescent="0.25">
      <c r="A525" s="25" t="str">
        <f ca="1">IFERROR(__xludf.DUMMYFUNCTION("""COMPUTED_VALUE"""),"Mega Archeops")</f>
        <v>Mega Archeops</v>
      </c>
      <c r="B525" s="27">
        <f ca="1">IFERROR(__xludf.DUMMYFUNCTION("""COMPUTED_VALUE"""),407)</f>
        <v>407</v>
      </c>
      <c r="C525" s="26" t="str">
        <f ca="1">IFERROR(__xludf.DUMMYFUNCTION("""COMPUTED_VALUE"""),"Rock")</f>
        <v>Rock</v>
      </c>
      <c r="D525" s="3" t="str">
        <f ca="1">IFERROR(__xludf.DUMMYFUNCTION("""COMPUTED_VALUE"""),"Flying")</f>
        <v>Flying</v>
      </c>
      <c r="E525" s="17">
        <f ca="1">IFERROR(__xludf.DUMMYFUNCTION("""COMPUTED_VALUE"""),75)</f>
        <v>75</v>
      </c>
      <c r="F525" s="17">
        <f ca="1">IFERROR(__xludf.DUMMYFUNCTION("""COMPUTED_VALUE"""),75)</f>
        <v>75</v>
      </c>
      <c r="G525" s="18">
        <f ca="1">IFERROR(__xludf.DUMMYFUNCTION("""COMPUTED_VALUE"""),165)</f>
        <v>165</v>
      </c>
      <c r="H525" s="18">
        <f ca="1">IFERROR(__xludf.DUMMYFUNCTION("""COMPUTED_VALUE"""),165)</f>
        <v>165</v>
      </c>
      <c r="I525" s="19">
        <f ca="1">IFERROR(__xludf.DUMMYFUNCTION("""COMPUTED_VALUE"""),85)</f>
        <v>85</v>
      </c>
      <c r="J525" s="19">
        <f ca="1">IFERROR(__xludf.DUMMYFUNCTION("""COMPUTED_VALUE"""),85)</f>
        <v>85</v>
      </c>
      <c r="K525" s="20">
        <f ca="1">IFERROR(__xludf.DUMMYFUNCTION("""COMPUTED_VALUE"""),110)</f>
        <v>110</v>
      </c>
      <c r="L525" s="20">
        <f ca="1">IFERROR(__xludf.DUMMYFUNCTION("""COMPUTED_VALUE"""),110)</f>
        <v>110</v>
      </c>
      <c r="M525" s="21">
        <f ca="1">IFERROR(__xludf.DUMMYFUNCTION("""COMPUTED_VALUE"""),75)</f>
        <v>75</v>
      </c>
      <c r="N525" s="21">
        <f ca="1">IFERROR(__xludf.DUMMYFUNCTION("""COMPUTED_VALUE"""),75)</f>
        <v>75</v>
      </c>
      <c r="O525" s="22">
        <f ca="1">IFERROR(__xludf.DUMMYFUNCTION("""COMPUTED_VALUE"""),140)</f>
        <v>140</v>
      </c>
      <c r="P525" s="22">
        <f ca="1">IFERROR(__xludf.DUMMYFUNCTION("""COMPUTED_VALUE"""),140)</f>
        <v>140</v>
      </c>
      <c r="Q525" s="23">
        <f ca="1">IFERROR(__xludf.DUMMYFUNCTION("""COMPUTED_VALUE"""),650)</f>
        <v>650</v>
      </c>
      <c r="R525" s="23">
        <f ca="1">IFERROR(__xludf.DUMMYFUNCTION("""COMPUTED_VALUE"""),650)</f>
        <v>650</v>
      </c>
      <c r="S525" s="25" t="str">
        <f ca="1">IFERROR(__xludf.DUMMYFUNCTION("""COMPUTED_VALUE"""),"Intimidate")</f>
        <v>Intimidate</v>
      </c>
      <c r="T525" s="25"/>
      <c r="U525" s="25"/>
      <c r="V525" s="25" t="str">
        <f ca="1">IFERROR(__xludf.DUMMYFUNCTION("""COMPUTED_VALUE"""),"Archeopsite")</f>
        <v>Archeopsite</v>
      </c>
      <c r="W525" s="25"/>
      <c r="X525" s="25"/>
      <c r="Y525" s="25"/>
    </row>
    <row r="526" spans="1:25" x14ac:dyDescent="0.25">
      <c r="A526" s="25" t="str">
        <f ca="1">IFERROR(__xludf.DUMMYFUNCTION("""COMPUTED_VALUE"""),"Mega Tyranitar")</f>
        <v>Mega Tyranitar</v>
      </c>
      <c r="B526" s="27">
        <f ca="1">IFERROR(__xludf.DUMMYFUNCTION("""COMPUTED_VALUE"""),416)</f>
        <v>416</v>
      </c>
      <c r="C526" s="26" t="str">
        <f ca="1">IFERROR(__xludf.DUMMYFUNCTION("""COMPUTED_VALUE"""),"Rock")</f>
        <v>Rock</v>
      </c>
      <c r="D526" s="3" t="str">
        <f ca="1">IFERROR(__xludf.DUMMYFUNCTION("""COMPUTED_VALUE"""),"Dark")</f>
        <v>Dark</v>
      </c>
      <c r="E526" s="17">
        <f ca="1">IFERROR(__xludf.DUMMYFUNCTION("""COMPUTED_VALUE"""),100)</f>
        <v>100</v>
      </c>
      <c r="F526" s="17">
        <f ca="1">IFERROR(__xludf.DUMMYFUNCTION("""COMPUTED_VALUE"""),0)</f>
        <v>0</v>
      </c>
      <c r="G526" s="18">
        <f ca="1">IFERROR(__xludf.DUMMYFUNCTION("""COMPUTED_VALUE"""),164)</f>
        <v>164</v>
      </c>
      <c r="H526" s="18">
        <f ca="1">IFERROR(__xludf.DUMMYFUNCTION("""COMPUTED_VALUE"""),0)</f>
        <v>0</v>
      </c>
      <c r="I526" s="19">
        <f ca="1">IFERROR(__xludf.DUMMYFUNCTION("""COMPUTED_VALUE"""),150)</f>
        <v>150</v>
      </c>
      <c r="J526" s="19">
        <f ca="1">IFERROR(__xludf.DUMMYFUNCTION("""COMPUTED_VALUE"""),0)</f>
        <v>0</v>
      </c>
      <c r="K526" s="20">
        <f ca="1">IFERROR(__xludf.DUMMYFUNCTION("""COMPUTED_VALUE"""),95)</f>
        <v>95</v>
      </c>
      <c r="L526" s="20">
        <f ca="1">IFERROR(__xludf.DUMMYFUNCTION("""COMPUTED_VALUE"""),0)</f>
        <v>0</v>
      </c>
      <c r="M526" s="21">
        <f ca="1">IFERROR(__xludf.DUMMYFUNCTION("""COMPUTED_VALUE"""),120)</f>
        <v>120</v>
      </c>
      <c r="N526" s="21">
        <f ca="1">IFERROR(__xludf.DUMMYFUNCTION("""COMPUTED_VALUE"""),0)</f>
        <v>0</v>
      </c>
      <c r="O526" s="22">
        <f ca="1">IFERROR(__xludf.DUMMYFUNCTION("""COMPUTED_VALUE"""),71)</f>
        <v>71</v>
      </c>
      <c r="P526" s="22">
        <f ca="1">IFERROR(__xludf.DUMMYFUNCTION("""COMPUTED_VALUE"""),0)</f>
        <v>0</v>
      </c>
      <c r="Q526" s="23">
        <f ca="1">IFERROR(__xludf.DUMMYFUNCTION("""COMPUTED_VALUE"""),700)</f>
        <v>700</v>
      </c>
      <c r="R526" s="23">
        <f ca="1">IFERROR(__xludf.DUMMYFUNCTION("""COMPUTED_VALUE"""),0)</f>
        <v>0</v>
      </c>
      <c r="S526" s="25" t="str">
        <f ca="1">IFERROR(__xludf.DUMMYFUNCTION("""COMPUTED_VALUE"""),"Sand Stream")</f>
        <v>Sand Stream</v>
      </c>
      <c r="T526" s="25"/>
      <c r="U526" s="25"/>
      <c r="V526" s="25" t="str">
        <f ca="1">IFERROR(__xludf.DUMMYFUNCTION("""COMPUTED_VALUE"""),"Tyranitarite")</f>
        <v>Tyranitarite</v>
      </c>
      <c r="W526" s="25"/>
      <c r="X526" s="25"/>
      <c r="Y526" s="25"/>
    </row>
    <row r="527" spans="1:25" x14ac:dyDescent="0.25">
      <c r="A527" s="25" t="str">
        <f ca="1">IFERROR(__xludf.DUMMYFUNCTION("""COMPUTED_VALUE"""),"Mega Dragonite")</f>
        <v>Mega Dragonite</v>
      </c>
      <c r="B527" s="27">
        <f ca="1">IFERROR(__xludf.DUMMYFUNCTION("""COMPUTED_VALUE"""),420)</f>
        <v>420</v>
      </c>
      <c r="C527" s="26" t="str">
        <f ca="1">IFERROR(__xludf.DUMMYFUNCTION("""COMPUTED_VALUE"""),"Dragon")</f>
        <v>Dragon</v>
      </c>
      <c r="D527" s="3" t="str">
        <f ca="1">IFERROR(__xludf.DUMMYFUNCTION("""COMPUTED_VALUE"""),"Flying")</f>
        <v>Flying</v>
      </c>
      <c r="E527" s="17">
        <f ca="1">IFERROR(__xludf.DUMMYFUNCTION("""COMPUTED_VALUE"""),91)</f>
        <v>91</v>
      </c>
      <c r="F527" s="17">
        <f ca="1">IFERROR(__xludf.DUMMYFUNCTION("""COMPUTED_VALUE"""),91)</f>
        <v>91</v>
      </c>
      <c r="G527" s="18">
        <f ca="1">IFERROR(__xludf.DUMMYFUNCTION("""COMPUTED_VALUE"""),144)</f>
        <v>144</v>
      </c>
      <c r="H527" s="18">
        <f ca="1">IFERROR(__xludf.DUMMYFUNCTION("""COMPUTED_VALUE"""),144)</f>
        <v>144</v>
      </c>
      <c r="I527" s="19">
        <f ca="1">IFERROR(__xludf.DUMMYFUNCTION("""COMPUTED_VALUE"""),105)</f>
        <v>105</v>
      </c>
      <c r="J527" s="19">
        <f ca="1">IFERROR(__xludf.DUMMYFUNCTION("""COMPUTED_VALUE"""),105)</f>
        <v>105</v>
      </c>
      <c r="K527" s="20">
        <f ca="1">IFERROR(__xludf.DUMMYFUNCTION("""COMPUTED_VALUE"""),150)</f>
        <v>150</v>
      </c>
      <c r="L527" s="20">
        <f ca="1">IFERROR(__xludf.DUMMYFUNCTION("""COMPUTED_VALUE"""),150)</f>
        <v>150</v>
      </c>
      <c r="M527" s="21">
        <f ca="1">IFERROR(__xludf.DUMMYFUNCTION("""COMPUTED_VALUE"""),110)</f>
        <v>110</v>
      </c>
      <c r="N527" s="21">
        <f ca="1">IFERROR(__xludf.DUMMYFUNCTION("""COMPUTED_VALUE"""),110)</f>
        <v>110</v>
      </c>
      <c r="O527" s="22">
        <f ca="1">IFERROR(__xludf.DUMMYFUNCTION("""COMPUTED_VALUE"""),100)</f>
        <v>100</v>
      </c>
      <c r="P527" s="22">
        <f ca="1">IFERROR(__xludf.DUMMYFUNCTION("""COMPUTED_VALUE"""),100)</f>
        <v>100</v>
      </c>
      <c r="Q527" s="23">
        <f ca="1">IFERROR(__xludf.DUMMYFUNCTION("""COMPUTED_VALUE"""),700)</f>
        <v>700</v>
      </c>
      <c r="R527" s="23">
        <f ca="1">IFERROR(__xludf.DUMMYFUNCTION("""COMPUTED_VALUE"""),700)</f>
        <v>700</v>
      </c>
      <c r="S527" s="25" t="str">
        <f ca="1">IFERROR(__xludf.DUMMYFUNCTION("""COMPUTED_VALUE"""),"Serene Grace")</f>
        <v>Serene Grace</v>
      </c>
      <c r="T527" s="25"/>
      <c r="U527" s="25"/>
      <c r="V527" s="25" t="str">
        <f ca="1">IFERROR(__xludf.DUMMYFUNCTION("""COMPUTED_VALUE"""),"Dragonite-ite")</f>
        <v>Dragonite-ite</v>
      </c>
      <c r="W527" s="25"/>
      <c r="X527" s="25" t="str">
        <f ca="1">IFERROR(__xludf.DUMMYFUNCTION("""COMPUTED_VALUE"""),"Dragon Scale")</f>
        <v>Dragon Scale</v>
      </c>
      <c r="Y527" s="25"/>
    </row>
    <row r="528" spans="1:25" x14ac:dyDescent="0.25">
      <c r="A528" s="25" t="str">
        <f ca="1">IFERROR(__xludf.DUMMYFUNCTION("""COMPUTED_VALUE"""),"Primal Kyogre")</f>
        <v>Primal Kyogre</v>
      </c>
      <c r="B528" s="27">
        <f ca="1">IFERROR(__xludf.DUMMYFUNCTION("""COMPUTED_VALUE"""),427)</f>
        <v>427</v>
      </c>
      <c r="C528" s="26" t="str">
        <f ca="1">IFERROR(__xludf.DUMMYFUNCTION("""COMPUTED_VALUE"""),"Water")</f>
        <v>Water</v>
      </c>
      <c r="D528" s="3"/>
      <c r="E528" s="17">
        <f ca="1">IFERROR(__xludf.DUMMYFUNCTION("""COMPUTED_VALUE"""),100)</f>
        <v>100</v>
      </c>
      <c r="F528" s="17">
        <f ca="1">IFERROR(__xludf.DUMMYFUNCTION("""COMPUTED_VALUE"""),0)</f>
        <v>0</v>
      </c>
      <c r="G528" s="18">
        <f ca="1">IFERROR(__xludf.DUMMYFUNCTION("""COMPUTED_VALUE"""),150)</f>
        <v>150</v>
      </c>
      <c r="H528" s="18">
        <f ca="1">IFERROR(__xludf.DUMMYFUNCTION("""COMPUTED_VALUE"""),0)</f>
        <v>0</v>
      </c>
      <c r="I528" s="19">
        <f ca="1">IFERROR(__xludf.DUMMYFUNCTION("""COMPUTED_VALUE"""),90)</f>
        <v>90</v>
      </c>
      <c r="J528" s="19">
        <f ca="1">IFERROR(__xludf.DUMMYFUNCTION("""COMPUTED_VALUE"""),0)</f>
        <v>0</v>
      </c>
      <c r="K528" s="20">
        <f ca="1">IFERROR(__xludf.DUMMYFUNCTION("""COMPUTED_VALUE"""),180)</f>
        <v>180</v>
      </c>
      <c r="L528" s="20">
        <f ca="1">IFERROR(__xludf.DUMMYFUNCTION("""COMPUTED_VALUE"""),0)</f>
        <v>0</v>
      </c>
      <c r="M528" s="21">
        <f ca="1">IFERROR(__xludf.DUMMYFUNCTION("""COMPUTED_VALUE"""),160)</f>
        <v>160</v>
      </c>
      <c r="N528" s="21">
        <f ca="1">IFERROR(__xludf.DUMMYFUNCTION("""COMPUTED_VALUE"""),0)</f>
        <v>0</v>
      </c>
      <c r="O528" s="22">
        <f ca="1">IFERROR(__xludf.DUMMYFUNCTION("""COMPUTED_VALUE"""),90)</f>
        <v>90</v>
      </c>
      <c r="P528" s="22">
        <f ca="1">IFERROR(__xludf.DUMMYFUNCTION("""COMPUTED_VALUE"""),0)</f>
        <v>0</v>
      </c>
      <c r="Q528" s="23">
        <f ca="1">IFERROR(__xludf.DUMMYFUNCTION("""COMPUTED_VALUE"""),770)</f>
        <v>770</v>
      </c>
      <c r="R528" s="23">
        <f ca="1">IFERROR(__xludf.DUMMYFUNCTION("""COMPUTED_VALUE"""),0)</f>
        <v>0</v>
      </c>
      <c r="S528" s="25" t="str">
        <f ca="1">IFERROR(__xludf.DUMMYFUNCTION("""COMPUTED_VALUE"""),"Primordial Sea")</f>
        <v>Primordial Sea</v>
      </c>
      <c r="T528" s="25"/>
      <c r="U528" s="25"/>
      <c r="V528" s="25" t="str">
        <f ca="1">IFERROR(__xludf.DUMMYFUNCTION("""COMPUTED_VALUE"""),"Blue Orb?")</f>
        <v>Blue Orb?</v>
      </c>
      <c r="W528" s="25"/>
      <c r="X528" s="25"/>
      <c r="Y528" s="25"/>
    </row>
    <row r="529" spans="1:25" x14ac:dyDescent="0.25">
      <c r="A529" s="25" t="str">
        <f ca="1">IFERROR(__xludf.DUMMYFUNCTION("""COMPUTED_VALUE"""),"Primal Groudon")</f>
        <v>Primal Groudon</v>
      </c>
      <c r="B529" s="27">
        <f ca="1">IFERROR(__xludf.DUMMYFUNCTION("""COMPUTED_VALUE"""),428)</f>
        <v>428</v>
      </c>
      <c r="C529" s="26" t="str">
        <f ca="1">IFERROR(__xludf.DUMMYFUNCTION("""COMPUTED_VALUE"""),"Ground")</f>
        <v>Ground</v>
      </c>
      <c r="D529" s="3" t="str">
        <f ca="1">IFERROR(__xludf.DUMMYFUNCTION("""COMPUTED_VALUE"""),"Fire")</f>
        <v>Fire</v>
      </c>
      <c r="E529" s="17">
        <f ca="1">IFERROR(__xludf.DUMMYFUNCTION("""COMPUTED_VALUE"""),100)</f>
        <v>100</v>
      </c>
      <c r="F529" s="17">
        <f ca="1">IFERROR(__xludf.DUMMYFUNCTION("""COMPUTED_VALUE"""),0)</f>
        <v>0</v>
      </c>
      <c r="G529" s="18">
        <f ca="1">IFERROR(__xludf.DUMMYFUNCTION("""COMPUTED_VALUE"""),180)</f>
        <v>180</v>
      </c>
      <c r="H529" s="18">
        <f ca="1">IFERROR(__xludf.DUMMYFUNCTION("""COMPUTED_VALUE"""),0)</f>
        <v>0</v>
      </c>
      <c r="I529" s="19">
        <f ca="1">IFERROR(__xludf.DUMMYFUNCTION("""COMPUTED_VALUE"""),160)</f>
        <v>160</v>
      </c>
      <c r="J529" s="19">
        <f ca="1">IFERROR(__xludf.DUMMYFUNCTION("""COMPUTED_VALUE"""),0)</f>
        <v>0</v>
      </c>
      <c r="K529" s="20">
        <f ca="1">IFERROR(__xludf.DUMMYFUNCTION("""COMPUTED_VALUE"""),150)</f>
        <v>150</v>
      </c>
      <c r="L529" s="20">
        <f ca="1">IFERROR(__xludf.DUMMYFUNCTION("""COMPUTED_VALUE"""),0)</f>
        <v>0</v>
      </c>
      <c r="M529" s="21">
        <f ca="1">IFERROR(__xludf.DUMMYFUNCTION("""COMPUTED_VALUE"""),90)</f>
        <v>90</v>
      </c>
      <c r="N529" s="21">
        <f ca="1">IFERROR(__xludf.DUMMYFUNCTION("""COMPUTED_VALUE"""),0)</f>
        <v>0</v>
      </c>
      <c r="O529" s="22">
        <f ca="1">IFERROR(__xludf.DUMMYFUNCTION("""COMPUTED_VALUE"""),90)</f>
        <v>90</v>
      </c>
      <c r="P529" s="22">
        <f ca="1">IFERROR(__xludf.DUMMYFUNCTION("""COMPUTED_VALUE"""),0)</f>
        <v>0</v>
      </c>
      <c r="Q529" s="23">
        <f ca="1">IFERROR(__xludf.DUMMYFUNCTION("""COMPUTED_VALUE"""),770)</f>
        <v>770</v>
      </c>
      <c r="R529" s="23">
        <f ca="1">IFERROR(__xludf.DUMMYFUNCTION("""COMPUTED_VALUE"""),0)</f>
        <v>0</v>
      </c>
      <c r="S529" s="25" t="str">
        <f ca="1">IFERROR(__xludf.DUMMYFUNCTION("""COMPUTED_VALUE"""),"Desolate Land")</f>
        <v>Desolate Land</v>
      </c>
      <c r="T529" s="25"/>
      <c r="U529" s="25"/>
      <c r="V529" s="25" t="str">
        <f ca="1">IFERROR(__xludf.DUMMYFUNCTION("""COMPUTED_VALUE"""),"Red Orb?")</f>
        <v>Red Orb?</v>
      </c>
      <c r="W529" s="25"/>
      <c r="X529" s="25"/>
      <c r="Y529" s="25"/>
    </row>
    <row r="530" spans="1:25" x14ac:dyDescent="0.25">
      <c r="A530" s="25" t="str">
        <f ca="1">IFERROR(__xludf.DUMMYFUNCTION("""COMPUTED_VALUE"""),"Mega Rayquaza")</f>
        <v>Mega Rayquaza</v>
      </c>
      <c r="B530" s="27">
        <f ca="1">IFERROR(__xludf.DUMMYFUNCTION("""COMPUTED_VALUE"""),429)</f>
        <v>429</v>
      </c>
      <c r="C530" s="26" t="str">
        <f ca="1">IFERROR(__xludf.DUMMYFUNCTION("""COMPUTED_VALUE"""),"Dragon")</f>
        <v>Dragon</v>
      </c>
      <c r="D530" s="3" t="str">
        <f ca="1">IFERROR(__xludf.DUMMYFUNCTION("""COMPUTED_VALUE"""),"Flying")</f>
        <v>Flying</v>
      </c>
      <c r="E530" s="17">
        <f ca="1">IFERROR(__xludf.DUMMYFUNCTION("""COMPUTED_VALUE"""),105)</f>
        <v>105</v>
      </c>
      <c r="F530" s="17">
        <f ca="1">IFERROR(__xludf.DUMMYFUNCTION("""COMPUTED_VALUE"""),0)</f>
        <v>0</v>
      </c>
      <c r="G530" s="18">
        <f ca="1">IFERROR(__xludf.DUMMYFUNCTION("""COMPUTED_VALUE"""),180)</f>
        <v>180</v>
      </c>
      <c r="H530" s="18">
        <f ca="1">IFERROR(__xludf.DUMMYFUNCTION("""COMPUTED_VALUE"""),0)</f>
        <v>0</v>
      </c>
      <c r="I530" s="19">
        <f ca="1">IFERROR(__xludf.DUMMYFUNCTION("""COMPUTED_VALUE"""),100)</f>
        <v>100</v>
      </c>
      <c r="J530" s="19">
        <f ca="1">IFERROR(__xludf.DUMMYFUNCTION("""COMPUTED_VALUE"""),0)</f>
        <v>0</v>
      </c>
      <c r="K530" s="20">
        <f ca="1">IFERROR(__xludf.DUMMYFUNCTION("""COMPUTED_VALUE"""),180)</f>
        <v>180</v>
      </c>
      <c r="L530" s="20">
        <f ca="1">IFERROR(__xludf.DUMMYFUNCTION("""COMPUTED_VALUE"""),0)</f>
        <v>0</v>
      </c>
      <c r="M530" s="21">
        <f ca="1">IFERROR(__xludf.DUMMYFUNCTION("""COMPUTED_VALUE"""),100)</f>
        <v>100</v>
      </c>
      <c r="N530" s="21">
        <f ca="1">IFERROR(__xludf.DUMMYFUNCTION("""COMPUTED_VALUE"""),0)</f>
        <v>0</v>
      </c>
      <c r="O530" s="22">
        <f ca="1">IFERROR(__xludf.DUMMYFUNCTION("""COMPUTED_VALUE"""),115)</f>
        <v>115</v>
      </c>
      <c r="P530" s="22">
        <f ca="1">IFERROR(__xludf.DUMMYFUNCTION("""COMPUTED_VALUE"""),0)</f>
        <v>0</v>
      </c>
      <c r="Q530" s="23">
        <f ca="1">IFERROR(__xludf.DUMMYFUNCTION("""COMPUTED_VALUE"""),780)</f>
        <v>780</v>
      </c>
      <c r="R530" s="23">
        <f ca="1">IFERROR(__xludf.DUMMYFUNCTION("""COMPUTED_VALUE"""),0)</f>
        <v>0</v>
      </c>
      <c r="S530" s="25" t="str">
        <f ca="1">IFERROR(__xludf.DUMMYFUNCTION("""COMPUTED_VALUE"""),"Delta Stream")</f>
        <v>Delta Stream</v>
      </c>
      <c r="T530" s="25"/>
      <c r="U530" s="25"/>
      <c r="V530" s="25" t="str">
        <f ca="1">IFERROR(__xludf.DUMMYFUNCTION("""COMPUTED_VALUE"""),"Know Dragon Ascent")</f>
        <v>Know Dragon Ascent</v>
      </c>
      <c r="W530" s="25"/>
      <c r="X530" s="25"/>
      <c r="Y530" s="25"/>
    </row>
  </sheetData>
  <mergeCells count="1">
    <mergeCell ref="C1:D1"/>
  </mergeCells>
  <conditionalFormatting sqref="C2:D530">
    <cfRule type="cellIs" dxfId="19" priority="1" operator="equal">
      <formula>"Dragon"</formula>
    </cfRule>
    <cfRule type="cellIs" dxfId="18" priority="2" operator="equal">
      <formula>"Fire"</formula>
    </cfRule>
    <cfRule type="cellIs" dxfId="17" priority="3" operator="equal">
      <formula>"Water"</formula>
    </cfRule>
    <cfRule type="cellIs" dxfId="16" priority="4" operator="equal">
      <formula>"Fighting"</formula>
    </cfRule>
    <cfRule type="cellIs" dxfId="15" priority="5" operator="equal">
      <formula>"Ground"</formula>
    </cfRule>
    <cfRule type="cellIs" dxfId="14" priority="6" operator="equal">
      <formula>"Dark"</formula>
    </cfRule>
    <cfRule type="cellIs" dxfId="13" priority="7" operator="equal">
      <formula>"Normal"</formula>
    </cfRule>
    <cfRule type="cellIs" dxfId="12" priority="8" operator="equal">
      <formula>"Bug"</formula>
    </cfRule>
    <cfRule type="cellIs" dxfId="11" priority="9" operator="equal">
      <formula>"Psychic"</formula>
    </cfRule>
    <cfRule type="cellIs" dxfId="10" priority="10" operator="equal">
      <formula>"Fairy"</formula>
    </cfRule>
    <cfRule type="cellIs" dxfId="9" priority="11" operator="equal">
      <formula>"Steel"</formula>
    </cfRule>
    <cfRule type="cellIs" dxfId="8" priority="12" operator="equal">
      <formula>"Rock"</formula>
    </cfRule>
    <cfRule type="cellIs" dxfId="7" priority="13" operator="equal">
      <formula>"Ghost"</formula>
    </cfRule>
    <cfRule type="cellIs" dxfId="6" priority="14" operator="equal">
      <formula>"Electric"</formula>
    </cfRule>
    <cfRule type="cellIs" dxfId="5" priority="15" operator="equal">
      <formula>"Poison"</formula>
    </cfRule>
    <cfRule type="cellIs" dxfId="4" priority="16" operator="equal">
      <formula>"Ice"</formula>
    </cfRule>
    <cfRule type="cellIs" dxfId="3" priority="17" operator="equal">
      <formula>"Flying"</formula>
    </cfRule>
    <cfRule type="cellIs" dxfId="2" priority="18" operator="equal">
      <formula>"Grass"</formula>
    </cfRule>
  </conditionalFormatting>
  <conditionalFormatting sqref="F2:F530 H2:H530 J2:J530 L2:L530 N2:N530 P2:P530 R2:R530">
    <cfRule type="cellIs" dxfId="1" priority="19" operator="greaterThan">
      <formula>0</formula>
    </cfRule>
    <cfRule type="containsText" dxfId="0" priority="20" operator="containsText" text="-">
      <formula>NOT(ISERROR(SEARCH(("-"),(F2))))</formula>
    </cfRule>
  </conditionalFormatting>
  <hyperlinks>
    <hyperlink ref="S2" location="Moves!K2" display="Overgrow" xr:uid="{4F38F4E9-9872-4A57-895C-4DE6D31E061D}"/>
    <hyperlink ref="T2" location="Moves!K128" display="Long Reach" xr:uid="{A3B69680-03CC-498B-9089-44FE74E80B9A}"/>
    <hyperlink ref="U2" location="Moves!K87" display="Fluffy" xr:uid="{5C4A7830-FF83-49E8-AC95-F6794137D45F}"/>
    <hyperlink ref="S3" location="Moves!K2" display="Overgrow" xr:uid="{27DDB0DD-D0E9-4B08-BDBB-BE869401E366}"/>
    <hyperlink ref="T3" location="Moves!K128" display="Long Reach" xr:uid="{447C74C2-37DD-4AE2-9D71-EB3946D61469}"/>
    <hyperlink ref="U3" location="Moves!K87" display="Fluffy" xr:uid="{5BF1FA79-E8D6-45FC-AEBC-FFC294A27539}"/>
    <hyperlink ref="S4" location="Moves!K2" display="Overgrow" xr:uid="{B5C832B4-D42D-423E-92E7-9D4B3E633E90}"/>
    <hyperlink ref="T4" location="Moves!K128" display="Long Reach" xr:uid="{92A12931-8F0C-44C4-ABEA-5799A2A51106}"/>
    <hyperlink ref="U4" location="Moves!K87" display="Fluffy" xr:uid="{A5FC02B2-B8C6-4863-98A2-A8D9373A663F}"/>
    <hyperlink ref="S5" location="Moves!K3" display="Blaze" xr:uid="{3A0C9B61-0642-4886-8FDC-2AAE8CEBDE77}"/>
    <hyperlink ref="T5" location="Moves!K129" display="Rivalry" xr:uid="{F95CD8BA-0A4C-4D04-8108-4F38C4B041AF}"/>
    <hyperlink ref="U5" location="Moves!K7" display="Intimidate" xr:uid="{D9D1C103-783F-42F6-9E5E-2A777F37EBC3}"/>
    <hyperlink ref="S6" location="Moves!K3" display="Blaze" xr:uid="{C5DC6538-944B-4FF3-AB89-33FEC415E49D}"/>
    <hyperlink ref="T6" location="Moves!K129" display="Rivalry" xr:uid="{26B71058-7E6D-46B8-A5D1-F62ACC25F1D1}"/>
    <hyperlink ref="U6" location="Moves!K7" display="Intimidate" xr:uid="{A16DA092-D2AA-40A7-8B00-4FF07F3272F7}"/>
    <hyperlink ref="S7" location="Moves!K3" display="Blaze" xr:uid="{0016C34B-5B28-4445-B3B9-733FB7E75705}"/>
    <hyperlink ref="T7" location="Moves!K129" display="Rivalry" xr:uid="{0026E21D-2765-4D03-B609-12F6FAD2EC65}"/>
    <hyperlink ref="U7" location="Moves!K7" display="Intimidate" xr:uid="{B6088049-D466-49E9-8546-668A84FB689F}"/>
    <hyperlink ref="S8" location="Moves!K4" display="Torrent" xr:uid="{8A7D9598-1BB3-46C2-A93C-3A4FA9DA4761}"/>
    <hyperlink ref="T8" location="Moves!K130" display="Liquid Voice" xr:uid="{9E8B548A-5A0A-46AD-A392-FDA6BED341FE}"/>
    <hyperlink ref="U8" location="Moves!K175" display="Propeller Tail" xr:uid="{891D819C-7852-4BCE-8D93-6E84FC1D8471}"/>
    <hyperlink ref="S9" location="Moves!K4" display="Torrent" xr:uid="{E3BC9D4B-71BD-4CB3-828A-EB305D30E010}"/>
    <hyperlink ref="T9" location="Moves!K130" display="Liquid Voice" xr:uid="{022EA51E-AE41-4E42-AC1C-145BD008940F}"/>
    <hyperlink ref="U9" location="Moves!K175" display="Propeller Tail" xr:uid="{D9170CC6-14B5-43DE-A4FD-08F757D17623}"/>
    <hyperlink ref="S10" location="Moves!K4" display="Torrent" xr:uid="{FB71D663-D1A3-418E-9B29-F3814CA84A56}"/>
    <hyperlink ref="T10" location="Moves!K130" display="Liquid Voice" xr:uid="{D2D715A7-BC94-476D-9E46-E38D4E3FFBCB}"/>
    <hyperlink ref="U10" location="Moves!K175" display="Propeller Tail" xr:uid="{9ED4F04D-46D7-46A3-B857-1A825057F0D5}"/>
    <hyperlink ref="S11" location="Moves!K2" display="Overgrow" xr:uid="{60AF7B50-3A26-45F3-8E3C-5CDDDACA5A87}"/>
    <hyperlink ref="T11" location="Moves!K128" display="Long Reach" xr:uid="{43F358AE-562A-4956-ADFE-4EA293BA6C6B}"/>
    <hyperlink ref="U11" location="Moves!K88" display="Spiked Shell" xr:uid="{CDAAF873-8C2D-411B-8738-C2B2983A204B}"/>
    <hyperlink ref="S12" location="Moves!K2" display="Overgrow" xr:uid="{D5BB3A3B-8D83-46DD-8CEA-8D407E01BD53}"/>
    <hyperlink ref="T12" location="Moves!K128" display="Long Reach" xr:uid="{A54690F0-89DA-43F3-BA90-0BCC05965033}"/>
    <hyperlink ref="U12" location="Moves!K88" display="Spiked Shell" xr:uid="{BB3DFEB2-64D1-408B-B41F-9CFAA6E6BB19}"/>
    <hyperlink ref="S13" location="Moves!K2" display="Overgrow" xr:uid="{4CB09D38-0C7E-495E-A3D1-5735F0468FBE}"/>
    <hyperlink ref="T13" location="Moves!K128" display="Long Reach" xr:uid="{CAD77A15-9765-482A-ADD0-CF8524C1FDD3}"/>
    <hyperlink ref="U13" location="Moves!K88" display="Spiked Shell" xr:uid="{617F82CC-8523-420C-902E-647360CC0E1B}"/>
    <hyperlink ref="S14" location="Moves!K3" display="Blaze" xr:uid="{FFE007CE-E5D5-4ACD-A11D-BC830611D1BE}"/>
    <hyperlink ref="T14" location="Moves!K131" display="Magician" xr:uid="{4A013492-45D9-4842-9B49-B6BE10F4E752}"/>
    <hyperlink ref="U14" location="Moves!K48" display="Tangling Hair" xr:uid="{96F6BB94-6C7D-4EE9-B29B-4D1FB7FFDD1D}"/>
    <hyperlink ref="S15" location="Moves!K3" display="Blaze" xr:uid="{BB414B00-1D65-4A7B-8A01-63A043417B03}"/>
    <hyperlink ref="T15" location="Moves!K131" display="Magician" xr:uid="{085E538B-828F-48B0-9475-9D23D7D0898D}"/>
    <hyperlink ref="U15" location="Moves!K48" display="Tangling Hair" xr:uid="{368581A5-A8CA-4056-9762-3C8B9233DF91}"/>
    <hyperlink ref="S16" location="Moves!K3" display="Blaze" xr:uid="{E8248292-D0B6-4ABA-9364-4A5BEC5F3EC1}"/>
    <hyperlink ref="T16" location="Moves!K131" display="Magician" xr:uid="{6CF2E474-0FCA-413F-AD69-4294A0E2466B}"/>
    <hyperlink ref="U16" location="Moves!K48" display="Tangling Hair" xr:uid="{15350026-237A-42E4-85A2-39499CC7F611}"/>
    <hyperlink ref="S17" location="Moves!K4" display="Torrent" xr:uid="{66F43132-682D-4F0A-AE55-7BA9EA5E1A7B}"/>
    <hyperlink ref="T17" location="Moves!K132" display="Water Bubble" xr:uid="{FB645F6F-58C3-4BBA-A152-0DF4686B33CF}"/>
    <hyperlink ref="U17" location="Moves!K166" display="Protean" xr:uid="{6DD825FF-B263-4CBA-8BF0-02564B46683A}"/>
    <hyperlink ref="S18" location="Moves!K4" display="Torrent" xr:uid="{4356781F-3687-46EF-8AE4-860381ED0CE5}"/>
    <hyperlink ref="T18" location="Moves!K132" display="Water Bubble" xr:uid="{17D9B512-F919-4572-920F-4F4E6A33DD60}"/>
    <hyperlink ref="U18" location="Moves!K166" display="Protean" xr:uid="{02E5163D-7E51-4E15-A1E8-0D9C0357181E}"/>
    <hyperlink ref="S19" location="Moves!K4" display="Torrent" xr:uid="{2E27CD2D-43A4-412B-870E-AC11102A2AF8}"/>
    <hyperlink ref="T19" location="Moves!K132" display="Water Bubble" xr:uid="{40165D73-396B-415E-A0C0-0CCBB2B9AA2C}"/>
    <hyperlink ref="U19" location="Moves!K166" display="Protean" xr:uid="{4989FDF8-8921-4613-8F3E-7C709602DD87}"/>
    <hyperlink ref="S20" location="Moves!K2" display="Overgrow" xr:uid="{3322AC9A-B661-4D1B-B0AE-A8D076308153}"/>
    <hyperlink ref="T20" location="Moves!K66" display="Unnerve" xr:uid="{3A9C26E9-C52A-466A-AF39-FB3A4EBB9033}"/>
    <hyperlink ref="U20" location="Moves!K166" display="Protean" xr:uid="{7138C701-C9B6-4D22-83C3-E0B1951E2F06}"/>
    <hyperlink ref="S21" location="Moves!K2" display="Overgrow" xr:uid="{F5D37F38-EADD-472F-AEFF-701B8C429C34}"/>
    <hyperlink ref="T21" location="Moves!K66" display="Unnerve" xr:uid="{F624857D-6AD8-4F88-A8A1-6609C2344488}"/>
    <hyperlink ref="U21" location="Moves!K166" display="Protean" xr:uid="{153D3131-DB12-4565-83B2-2B0E66D27F90}"/>
    <hyperlink ref="S22" location="Moves!K2" display="Overgrow" xr:uid="{64DE1DB1-C833-4AE3-86EE-C68F0DE5B487}"/>
    <hyperlink ref="T22" location="Moves!K66" display="Unnerve" xr:uid="{EDCA04D5-FC1E-4BC3-A465-1B2BCFBC46CA}"/>
    <hyperlink ref="U22" location="Moves!K166" display="Protean" xr:uid="{01D5C70B-F5D0-46D4-A70C-7150E4105B28}"/>
    <hyperlink ref="S23" location="Moves!K3" display="Blaze" xr:uid="{C91302F2-F943-4B33-9CC0-936AC971EEC1}"/>
    <hyperlink ref="T23" location="Moves!K28" display="Unaware" xr:uid="{04818AB2-6D99-425C-84A7-3361DB7B75B3}"/>
    <hyperlink ref="U23" location="Moves!K98" display="Dry Skin" xr:uid="{9CDCB763-DE21-4F91-B21C-96CC16691F0F}"/>
    <hyperlink ref="S24" location="Moves!K3" display="Blaze" xr:uid="{A51E0F2B-BDC2-421E-B7E0-4DF04996BD9A}"/>
    <hyperlink ref="T24" location="Moves!K28" display="Unaware" xr:uid="{C1D66B57-EE91-459B-8EA8-DB735D95414C}"/>
    <hyperlink ref="U24" location="Moves!K98" display="Dry Skin" xr:uid="{29C017C1-D878-4A14-A54D-DC07F806FF15}"/>
    <hyperlink ref="S25" location="Moves!K3" display="Blaze" xr:uid="{40BBF201-849E-43D8-8D9B-CD63E4347671}"/>
    <hyperlink ref="T25" location="Moves!K28" display="Unaware" xr:uid="{18AD4EB9-686C-4880-B1DF-FF2B37CFCAAC}"/>
    <hyperlink ref="U25" location="Moves!K98" display="Dry Skin" xr:uid="{06B11A94-2A44-44E4-9DEE-DFF462AD33FA}"/>
    <hyperlink ref="S26" location="Moves!K4" display="Torrent" xr:uid="{BB2E54EB-C4B9-4756-9C26-945C8434F75C}"/>
    <hyperlink ref="T26" location="Moves!K133" display="Strong Legs" xr:uid="{7009D344-CD6D-4091-88B1-5D36EA418FEB}"/>
    <hyperlink ref="U26" location="Moves!K41" display="Moxie" xr:uid="{3CE7D7CD-65E9-4F24-91BD-7B939B626163}"/>
    <hyperlink ref="S27" location="Moves!K4" display="Torrent" xr:uid="{55879FED-1A78-427D-A265-BAD5535778C2}"/>
    <hyperlink ref="T27" location="Moves!K133" display="Strong Legs" xr:uid="{69BCFF4E-4AA5-41BD-9F28-D6424AA98E5B}"/>
    <hyperlink ref="U27" location="Moves!K41" display="Moxie" xr:uid="{40525EFE-735F-43D3-8C86-CA068263681F}"/>
    <hyperlink ref="S28" location="Moves!K4" display="Torrent" xr:uid="{20134BBC-958D-428B-9204-C2316052DC79}"/>
    <hyperlink ref="T28" location="Moves!K133" display="Strong Legs" xr:uid="{86E6D415-E764-491A-A89D-54097B65B9C7}"/>
    <hyperlink ref="U28" location="Moves!K41" display="Moxie" xr:uid="{A210A848-FE8E-472C-96CE-F739B2FB0727}"/>
    <hyperlink ref="S29" location="Moves!K5" display="Gluttony" xr:uid="{3DD6FDA6-C23D-4904-BFBC-9A7DB593F45C}"/>
    <hyperlink ref="T29" location="Moves!K111" display="Cud Chew" xr:uid="{859A2ED2-6FC5-4ABE-9E5B-3DD218929B74}"/>
    <hyperlink ref="U29" location="Moves!K2" display="Overgrow" xr:uid="{9D9BA668-13ED-41DD-8DB1-489685FEAF02}"/>
    <hyperlink ref="S30" location="Moves!K5" display="Gluttony" xr:uid="{7B06FF22-130B-415F-8110-99489A334DB6}"/>
    <hyperlink ref="T30" location="Moves!K111" display="Cud Chew" xr:uid="{5B8E508D-13DF-45D5-B698-08D32A77DF3D}"/>
    <hyperlink ref="U30" location="Moves!K2" display="Overgrow" xr:uid="{C3FE2D81-7D91-4865-B5C6-353D245F45CD}"/>
    <hyperlink ref="S31" location="Moves!K5" display="Gluttony" xr:uid="{C088B11A-D764-47CA-A22F-A1EE8A0F6B66}"/>
    <hyperlink ref="T31" location="Moves!K111" display="Cud Chew" xr:uid="{2622D6E4-9C30-4372-BBD3-241251A5241F}"/>
    <hyperlink ref="U31" location="Moves!K3" display="Blaze" xr:uid="{7BA0286C-9124-4563-8879-5DDB0C1396B6}"/>
    <hyperlink ref="S32" location="Moves!K5" display="Gluttony" xr:uid="{31941EBC-4989-4A9A-B885-5016E90F1FE8}"/>
    <hyperlink ref="T32" location="Moves!K111" display="Cud Chew" xr:uid="{65E73E5F-B414-4E48-8649-C6BA89FDE29D}"/>
    <hyperlink ref="U32" location="Moves!K3" display="Blaze" xr:uid="{50B8E409-2430-47F6-A299-B0FA8C91799A}"/>
    <hyperlink ref="S33" location="Moves!K5" display="Gluttony" xr:uid="{346E29F2-F74A-42DC-AB48-01BCB449C6F2}"/>
    <hyperlink ref="T33" location="Moves!K111" display="Cud Chew" xr:uid="{A92162C0-C506-46A6-8475-F14F9BBF49A9}"/>
    <hyperlink ref="U33" location="Moves!K4" display="Torrent" xr:uid="{2A32ADEF-816C-4CD8-ACB6-6CBCAB3B6F35}"/>
    <hyperlink ref="S34" location="Moves!K5" display="Gluttony" xr:uid="{6140DF2D-EA3D-4D40-9DBB-50D1ABEAE9B6}"/>
    <hyperlink ref="T34" location="Moves!K111" display="Cud Chew" xr:uid="{9F46E824-A4A8-4093-8559-18049E6A143C}"/>
    <hyperlink ref="U34" location="Moves!K4" display="Torrent" xr:uid="{0B2A07D5-C125-4039-99CD-2170617B20B1}"/>
    <hyperlink ref="S35" location="Moves!K6" display="Vital Spirit" xr:uid="{16B89741-AB73-46A3-A888-2CDC99A2362C}"/>
    <hyperlink ref="T35" location="Moves!K17" display="Pickup" xr:uid="{EB41DCFD-0689-4386-9A32-90855250D6D8}"/>
    <hyperlink ref="U35" location="Moves!K32" display="Run Away" xr:uid="{29387B2A-1BEF-4BB7-B0B8-AE87F5DBA3DA}"/>
    <hyperlink ref="S36" location="Moves!K7" display="Intimidate" xr:uid="{7AAF79D2-DD68-47DA-AF61-F82EBAE812DD}"/>
    <hyperlink ref="T36" location="Moves!K134" display="Sand Rush" xr:uid="{D5DDCA49-D870-423E-9DEB-4C04951ED693}"/>
    <hyperlink ref="U36" location="Moves!K168" display="Scrappy" xr:uid="{1B9E90AF-1D4C-4E09-B4FF-3C3F650DEDAE}"/>
    <hyperlink ref="S37" location="Moves!K7" display="Intimidate" xr:uid="{623A28C4-B67C-4B1A-91F2-9A688FDD965F}"/>
    <hyperlink ref="T37" location="Moves!K134" display="Sand Rush" xr:uid="{9C61F0FA-E98C-40C3-8D3C-5F3600E7BBFC}"/>
    <hyperlink ref="U37" location="Moves!K168" display="Scrappy" xr:uid="{9E97F4A2-EEA1-4618-A29B-B447BF771153}"/>
    <hyperlink ref="S38" location="Moves!K8" display="Keen Eye" xr:uid="{D871DEB1-E9A2-498E-A495-C7A1E2DD22C2}"/>
    <hyperlink ref="T38" location="Moves!K66" display="Skill Link" xr:uid="{2DEB8171-8643-46BF-BD9E-877BED35A2CF}"/>
    <hyperlink ref="U38" location="Moves!K17" display="Pickup" xr:uid="{67C97530-A642-487E-8560-F3A3997D7665}"/>
    <hyperlink ref="S39" location="Moves!K8" display="Keen Eye" xr:uid="{70AEB7B1-A490-40CF-80D4-3B70156FB65A}"/>
    <hyperlink ref="T39" location="Moves!K67" display="Skill Link" xr:uid="{477A7C03-2D19-4DA6-AE07-078CE937FB1D}"/>
    <hyperlink ref="U39" location="Moves!K17" display="Pickup" xr:uid="{E0D66081-97D4-4929-B559-1E3702A59285}"/>
    <hyperlink ref="S40" location="Moves!K8" display="Keen Eye" xr:uid="{068568B6-B13C-449A-A664-510BC087628B}"/>
    <hyperlink ref="T40" location="Moves!K67" display="Skill Link" xr:uid="{CE74450F-A6E6-44EB-BA0F-9E690EAF6EE6}"/>
    <hyperlink ref="U40" location="Moves!K72" display="Sheer Force" xr:uid="{2119A326-4E78-43C2-913C-9E74E0E4A71B}"/>
    <hyperlink ref="S41" location="Moves!K8" display="Keen Eye" xr:uid="{0307EDE2-70B8-4124-A417-269641FAF60A}"/>
    <hyperlink ref="T41" location="Moves!K135" display="Big Pecks" xr:uid="{B67081B1-CDBA-44A9-9306-2A91FAF9575E}"/>
    <hyperlink ref="U41" location="Moves!K150" display="Drizzle" xr:uid="{4AF37978-6A37-46F4-8A4E-015BD7787AB4}"/>
    <hyperlink ref="S42" location="Moves!K7" display="Intimidate" xr:uid="{E4CBA18F-7BC5-48C0-A912-867FEBD5F080}"/>
    <hyperlink ref="T42" location="Moves!K135" display="Big Pecks" xr:uid="{677078F9-857B-4ABC-874B-97CE5C943B8C}"/>
    <hyperlink ref="U42" location="Moves!K150" display="Drizzle" xr:uid="{9C180844-C0A4-4678-B9A3-A317CAE6CC53}"/>
    <hyperlink ref="S43" location="Moves!K9" display="Chlorophyll" xr:uid="{D4BF9CDA-C363-4CAF-BE3B-26846DA21982}"/>
    <hyperlink ref="T43" location="Moves!K36" display="Leaf Guard" xr:uid="{1FD9B20B-3C85-49EE-B00A-BC532C10DAAF}"/>
    <hyperlink ref="U43" location="Moves!K176" display="Hospitality" xr:uid="{69302A9A-2E08-4354-8AC9-0E0CBD56A54B}"/>
    <hyperlink ref="S44" location="Moves!K9" display="Chlorophyll" xr:uid="{E687B286-552D-49D5-BCEE-9B808A7136B4}"/>
    <hyperlink ref="T44" location="Moves!K36" display="Leaf Guard" xr:uid="{C740DF69-FBC0-4BCB-94B9-34F2B441A3C5}"/>
    <hyperlink ref="U44" location="Moves!K176" display="Hospitality" xr:uid="{5863C9CF-007D-496F-8FD2-33C8E473EB01}"/>
    <hyperlink ref="S45" location="Moves!K9" display="Chlorophyll" xr:uid="{C313FBBB-9BEA-4384-BEFD-92DBFEC09E79}"/>
    <hyperlink ref="T45" location="Moves!K36" display="Leaf Guard" xr:uid="{A00018C0-B679-4D22-B1A3-738304B155B1}"/>
    <hyperlink ref="U45" location="Moves!K176" display="Hospitality" xr:uid="{19EFFE91-3027-45C0-B4BD-37EE800AA69F}"/>
    <hyperlink ref="S46" location="Moves!K10" display="Compound Eyes" xr:uid="{47E3C03C-0839-4035-8203-EEACD060DB13}"/>
    <hyperlink ref="T46" location="Moves!K27" display="Shed Skin" xr:uid="{B6BAA887-F3A9-411F-99B6-EEA996732B6F}"/>
    <hyperlink ref="U46" location="Moves!K32" display="Run Away" xr:uid="{96C0C092-2491-4AA5-93BD-A6593366D7F3}"/>
    <hyperlink ref="S47" location="Moves!K11" display="Speed Boost" xr:uid="{63D97A15-9EA7-4467-9667-827838FEF4F6}"/>
    <hyperlink ref="T47" location="Moves!K68" display="Sharpness" xr:uid="{0B292750-2A30-4F20-843D-FC673E8D1C8A}"/>
    <hyperlink ref="U47" location="Moves!K177" display="Infiltrator" xr:uid="{6F5525AA-3B28-41C7-A67F-29D8F8D91793}"/>
    <hyperlink ref="S48" location="Moves!K12" display="Wonder Guard" xr:uid="{FC5CA967-9D7B-4453-8D0D-0A4ADA95175F}"/>
    <hyperlink ref="S49" location="Moves!K13" display="Swarm" xr:uid="{9376EC03-AC83-4415-A6B9-08B25154649C}"/>
    <hyperlink ref="U49" location="Moves!K13" display="Swarm" xr:uid="{E570F212-3691-402D-948A-951AAE794824}"/>
    <hyperlink ref="S50" location="Moves!K14" display="Battery" xr:uid="{5AAC9468-A457-4C96-86CF-B4E23F60D728}"/>
    <hyperlink ref="U50" location="Moves!K14" display="Battery" xr:uid="{01A4357C-435F-42BF-8F3A-4992713F5EDE}"/>
    <hyperlink ref="S51" location="Moves!K15" display="Levitate" xr:uid="{E92573CC-6011-4B46-B5EC-A136D5495B8D}"/>
    <hyperlink ref="U51" location="Moves!K11" display="Speed Boost" xr:uid="{A7B5E218-F51B-49B4-BAF4-F4EDABA36750}"/>
    <hyperlink ref="S52" location="Moves!K16" display="Effect Spore" xr:uid="{802EBEC5-E86D-4F6F-9882-06B41663D901}"/>
    <hyperlink ref="T52" location="Moves!K50" display="Damp" xr:uid="{37AC9FFC-86C2-44B0-B1C4-C333C72D34BA}"/>
    <hyperlink ref="U52" location="Moves!K124" display="Poison Touch" xr:uid="{49D39790-FBC1-437E-8E74-E1CD3259EC06}"/>
    <hyperlink ref="S53" location="Moves!K16" display="Effect Spore" xr:uid="{086B3419-65FC-4A4D-98D9-65BE35CD787E}"/>
    <hyperlink ref="T53" location="Moves!K50" display="Damp" xr:uid="{1675292A-DD76-4D8C-AFA9-8FC4AB671E46}"/>
    <hyperlink ref="U53" location="Moves!K124" display="Poison Touch" xr:uid="{74A556F8-DF45-4618-9B79-853E55E20242}"/>
    <hyperlink ref="S54" location="Moves!K17" display="Pickup" xr:uid="{F74D6FBF-C01F-4F5C-85DA-8DA883790747}"/>
    <hyperlink ref="T54" location="Moves!K136" display="Stamina" xr:uid="{8F727812-BE63-46FF-8A27-194479A9375D}"/>
    <hyperlink ref="U54" location="Moves!K43" display="Sand Veil" xr:uid="{4B8D59C8-7286-4B12-805A-F2967A9524E4}"/>
    <hyperlink ref="S55" location="Moves!K18" display="Sturdy" xr:uid="{3E45B7F3-9BD3-479F-84E3-ADF7C1BCCCFE}"/>
    <hyperlink ref="T55" location="Moves!K136" display="Stamina" xr:uid="{2A7331DB-D63C-4281-95ED-B351509D99BE}"/>
    <hyperlink ref="U55" location="Moves!K43" display="Sand Veil" xr:uid="{6BBC201A-1B18-49A9-8184-C5475E9D225A}"/>
    <hyperlink ref="S56" location="Moves!K19" display="Shield Dust" xr:uid="{6A1CD614-CDCF-4F5B-9738-9D5CD5E92638}"/>
    <hyperlink ref="U56" location="Moves!K152" display="Ice Scales" xr:uid="{599950E4-7EF4-4FA3-9752-EA6CC2AF8AC8}"/>
    <hyperlink ref="S57" location="Moves!K19" display="Shield Dust" xr:uid="{C43F7BF1-155B-4D3E-99A6-C674872F2C82}"/>
    <hyperlink ref="U57" location="Moves!K152" display="Ice Scales" xr:uid="{FAB92AF7-A411-4CEA-97C2-8D2D3FDE822B}"/>
    <hyperlink ref="S58" location="Moves!K20" display="Rock Head" xr:uid="{2416C040-8E17-42F2-A9E9-97A6FF93938E}"/>
    <hyperlink ref="T58" location="Moves!K67" display="Skill Link" xr:uid="{E1E169D5-F83B-4BF1-9930-FE3CF8FDD600}"/>
    <hyperlink ref="U58" location="Moves!K69" display="Battle Armor" xr:uid="{63F06BF1-8F98-4064-B0B6-3E7F83CFC1C9}"/>
    <hyperlink ref="S59" location="Moves!K20" display="Rock Head" xr:uid="{B4A23866-180B-44F1-8B23-4C081E84CC01}"/>
    <hyperlink ref="T59" location="Moves!K67" display="Skill Link" xr:uid="{7348F85B-3664-44FB-B1D5-956D6464F0ED}"/>
    <hyperlink ref="U59" location="Moves!K69" display="Battle Armor" xr:uid="{C8892082-0D9E-44C8-9651-C845B9B628A9}"/>
    <hyperlink ref="S60" location="Moves!K21" display="Own Tempo" xr:uid="{90A3C574-9F2F-48FB-8F70-CEC60F523EAA}"/>
    <hyperlink ref="T60" location="Moves!K136" display="Stamina" xr:uid="{9157E711-37C1-4310-AB1B-0BB4502C8C15}"/>
    <hyperlink ref="U60" location="Moves!K55" display="Inner Focus" xr:uid="{D01C89B3-5DF4-4873-A84C-23B4B4689A28}"/>
    <hyperlink ref="S61" location="Moves!K21" display="Own Tempo" xr:uid="{56E990A7-5799-465B-A4E4-54B5D45A8F34}"/>
    <hyperlink ref="T61" location="Moves!K136" display="Stamina" xr:uid="{9FE0923C-DCE1-4BA5-97C0-79E510690E1C}"/>
    <hyperlink ref="U61" location="Moves!K55" display="Inner Focus" xr:uid="{9E6AB486-7D12-4FC2-A45C-E3AC03456926}"/>
    <hyperlink ref="S62" location="Moves!K22" display="Static" xr:uid="{79CE2B0E-61A0-4D68-8955-4AB5B6CB5C06}"/>
    <hyperlink ref="T62" location="Moves!K137" display="Illuminate" xr:uid="{7D9072FF-13E2-4FFF-AA74-2399C22F3646}"/>
    <hyperlink ref="U62" location="Moves!K107" display="Dazzling" xr:uid="{1276D01E-4D32-4D10-AF36-DBDB52097817}"/>
    <hyperlink ref="S63" location="Moves!K22" display="Static" xr:uid="{243CA332-01C6-4460-8FAD-94ED4D29DB08}"/>
    <hyperlink ref="T63" location="Moves!K137" display="Illuminate" xr:uid="{EDB594AA-C664-4A30-8FFA-F8B6BB80C711}"/>
    <hyperlink ref="U63" location="Moves!K107" display="Dazzling" xr:uid="{77FEC2E1-0A1F-4207-BFA7-2C4F95E1F2FD}"/>
    <hyperlink ref="S64" location="Moves!K22" display="Static" xr:uid="{8213A4C7-B55A-4C43-A912-003EFCABB670}"/>
    <hyperlink ref="T64" location="Moves!K137" display="Illuminate" xr:uid="{9531720C-6A30-4825-BDF5-D26CF40BA961}"/>
    <hyperlink ref="U64" location="Moves!K107" display="Dazzling" xr:uid="{B15BABE4-FCA0-461F-A3A8-0D85D629D10E}"/>
    <hyperlink ref="S65" location="Moves!K23" display="Ripen" xr:uid="{41D86DF0-8C2F-4B9D-AEAF-2582D4601C8B}"/>
    <hyperlink ref="T65" location="Moves!K5" display="Gluttony" xr:uid="{8FC4C43A-18CB-4EFF-ACFA-0433C7ECFD02}"/>
    <hyperlink ref="U65" location="Moves!K178" display="Bulletproof" xr:uid="{D58BC15D-1723-4E65-9DF1-BD34D0BE7D90}"/>
    <hyperlink ref="S66" location="Moves!K23" display="Ripen" xr:uid="{6E17E323-ABE5-40A1-A1AC-BBA0AC309A8A}"/>
    <hyperlink ref="T66" location="Moves!K5" display="Gluttony" xr:uid="{C77D0879-02C4-4819-A3E7-BDE61EAEA710}"/>
    <hyperlink ref="U66" location="Moves!K124" display="Poison Touch" xr:uid="{F4AD52FD-147F-4FDF-AEB0-9B5C517B4184}"/>
    <hyperlink ref="S67" location="Moves!K23" display="Ripen" xr:uid="{A2C8CDB8-FE5C-41D7-883B-FC7759BAEC98}"/>
    <hyperlink ref="T67" location="Moves!K5" display="Gluttony" xr:uid="{3A775FB1-D63B-43A9-BF79-FD071180576F}"/>
    <hyperlink ref="U67" location="Moves!K29" display="Thick Layers" xr:uid="{E560A3C3-F790-489F-8DD3-1B970E74C5D7}"/>
    <hyperlink ref="S68" location="Moves!K24" display="Supersweet Syrup" xr:uid="{970939E6-AE5C-49D8-9296-86AA6473AB9D}"/>
    <hyperlink ref="T68" location="Moves!K5" display="Gluttony" xr:uid="{22695F0E-FFCB-475E-8516-9E629DF96FF5}"/>
    <hyperlink ref="U68" location="Moves!K138" display="Sticky Hold" xr:uid="{04184FA2-61CC-49D8-B216-ACA59EF3BFCD}"/>
    <hyperlink ref="S69" location="Moves!K24" display="Supersweet Syrup" xr:uid="{4FF10E32-40B0-420A-995F-91ABBB7D6CD1}"/>
    <hyperlink ref="T69" location="Moves!K45" display="Regenerator" xr:uid="{48B17B22-05B1-4FBA-AE1A-1BC20A8FBE4D}"/>
    <hyperlink ref="U69" location="Moves!K138" display="Sticky Hold" xr:uid="{45C8E5BD-5491-4C6B-9DEB-C43210E3A769}"/>
    <hyperlink ref="S70" location="Moves!K25" display="Honey Gather" xr:uid="{6EE99F15-47CF-415E-B6D3-7FE60D0BD286}"/>
    <hyperlink ref="T70" location="Moves!K19" display="Shield Dust" xr:uid="{899ECF30-7703-401A-A0A6-08A1856A160C}"/>
    <hyperlink ref="U70" location="Moves!K179" display="Sweet Veil" xr:uid="{916794BE-0B3A-4BDB-B30C-333CE711830F}"/>
    <hyperlink ref="S71" location="Moves!K25" display="Honey Gather" xr:uid="{80913A19-4FEE-4D3D-AE42-73E785D1EEE3}"/>
    <hyperlink ref="T71" location="Moves!K19" display="Shield Dust" xr:uid="{94C449D3-4A6F-46D6-B313-F099AE259BFA}"/>
    <hyperlink ref="U71" location="Moves!K179" display="Sweet Veil" xr:uid="{23052F6F-B3FB-4402-8602-CFD636F893F5}"/>
    <hyperlink ref="S72" location="Moves!K26" display="Stench" xr:uid="{CCF750EB-AD3C-42AD-AF7E-88DA8E8D499E}"/>
    <hyperlink ref="T72" location="Moves!K138" display="Sticky Hold" xr:uid="{DD970A4F-D776-4878-8EFD-820096300B31}"/>
    <hyperlink ref="U72" location="Moves!K124" display="Poison Touch" xr:uid="{88AAC9EF-6994-46CD-9A5F-03215AC17500}"/>
    <hyperlink ref="S73" location="Moves!K26" display="Stench" xr:uid="{B5D8BEC7-58FA-4FA6-B174-10B123E00E60}"/>
    <hyperlink ref="T73" location="Moves!K138" display="Sticky Hold" xr:uid="{1B607477-8554-4806-989B-0D26B05727C3}"/>
    <hyperlink ref="U73" location="Moves!K124" display="Poison Touch" xr:uid="{DDA6F386-F804-487E-A6D2-0BFF6FBEF097}"/>
    <hyperlink ref="S74" location="Moves!K19" display="Shield Dust" xr:uid="{A690DF09-82C4-44D4-B050-30A8D678A6EE}"/>
    <hyperlink ref="U74" location="Moves!K32" display="Run Away" xr:uid="{8BA4B9C7-12E3-4516-8433-C66205F3F9CE}"/>
    <hyperlink ref="S75" location="Moves!K27" display="Shed Skin" xr:uid="{0518EF37-41D0-48D3-A946-2045FAD506C6}"/>
    <hyperlink ref="S76" location="Moves!K13" display="Swarm" xr:uid="{476A5880-22B9-45EF-A966-0F5678474D78}"/>
    <hyperlink ref="U76" location="Moves!K129" display="Rivalry" xr:uid="{3D00ADA6-6222-4E8B-A318-72CD424E73F9}"/>
    <hyperlink ref="S77" location="Moves!K27" display="Shed Skin" xr:uid="{FC91B604-F07C-4789-B73F-B682497737C4}"/>
    <hyperlink ref="S78" location="Moves!K28" display="Unaware" xr:uid="{A718AF97-4E4F-47DE-A50E-9B21140D08A0}"/>
    <hyperlink ref="U78" location="Moves!K10" display="Compound Eyes" xr:uid="{91B9AE36-169D-4C53-A44E-1CF1A8FD0361}"/>
    <hyperlink ref="S79" location="Moves!K29" display="Thick Layers" xr:uid="{33D40875-35F3-4933-84BF-EDEF57D6A8DF}"/>
    <hyperlink ref="T79" location="Moves!K139" display="Solar Power" xr:uid="{C4B7F548-F8C0-4333-8816-9B2ECAA610E4}"/>
    <hyperlink ref="U79" location="Moves!K144" display="Harvest" xr:uid="{D03228CB-09D1-48A8-ACAE-E7B8560B6F80}"/>
    <hyperlink ref="S80" location="Moves!K30" display="Synchronize" xr:uid="{8A7F6ED9-F4D5-47B8-A3B6-C752A0B0DD09}"/>
    <hyperlink ref="T80" location="Moves!K140" display="Trace" xr:uid="{7BFA58A9-D750-4AAF-B199-116EBB8CDB90}"/>
    <hyperlink ref="U80" location="Moves!K91" display="Telepathy" xr:uid="{79E12E78-8CB9-4D28-9AB7-DC69410BDD57}"/>
    <hyperlink ref="S81" location="Moves!K30" display="Synchronize" xr:uid="{D6B80323-C827-440F-A816-919FBE0FB525}"/>
    <hyperlink ref="T81" location="Moves!K140" display="Trace" xr:uid="{188E051F-CDF4-4518-9920-7F5FC4AB9DE5}"/>
    <hyperlink ref="U81" location="Moves!K91" display="Telepathy" xr:uid="{6A03AE88-B65E-4E60-8A26-A8BA363AD296}"/>
    <hyperlink ref="S82" location="Moves!K30" display="Synchronize" xr:uid="{CC5CA72A-EB11-43B6-8C63-AC6B73D2BF93}"/>
    <hyperlink ref="T82" location="Moves!K140" display="Trace" xr:uid="{9A9CBC17-E361-408D-8116-B2DF38E1FF63}"/>
    <hyperlink ref="U82" location="Moves!K91" display="Telepathy" xr:uid="{80CD1E07-74AD-4CA3-B847-B9652ED0B09A}"/>
    <hyperlink ref="S83" location="Moves!K31" display="Steadfast" xr:uid="{59A83BC1-8CE7-41AB-9C92-DDFBFD311429}"/>
    <hyperlink ref="T83" location="Moves!K68" display="Sharpness" xr:uid="{66BA4387-BBE3-491A-83DE-16A665D4EE05}"/>
    <hyperlink ref="U83" location="Moves!K180" display="Justified" xr:uid="{1CE3BE3A-7222-4DAC-ADB0-498C8AD5B770}"/>
    <hyperlink ref="S84" location="Moves!K32" display="Run Away" xr:uid="{AE835163-6F74-403F-A613-647F7D0B0DA7}"/>
    <hyperlink ref="T84" location="Moves!K141" display="Adaptability" xr:uid="{19DDBD2B-121C-4727-93DA-6A9F9C83FD14}"/>
    <hyperlink ref="U84" location="Moves!K56" display="Anticipation" xr:uid="{0A489E43-0846-44E3-9539-A6ED9D1B9182}"/>
    <hyperlink ref="S85" location="Moves!K33" display="Water Absorb" xr:uid="{29B519AE-A3C0-4EA6-A404-31B41D8FBDE7}"/>
    <hyperlink ref="T85" location="Moves!K141" display="Adaptability" xr:uid="{E158904F-90E3-45E3-B104-93CAB1EB6BDE}"/>
    <hyperlink ref="S86" location="Moves!K34" display="Volt Absorb" xr:uid="{76DE1AD1-ED4A-4785-808E-B48FA8CDDA64}"/>
    <hyperlink ref="T86" location="Moves!K141" display="Adaptability" xr:uid="{18B00A56-D105-4C6F-892A-77A096FEB98E}"/>
    <hyperlink ref="U86" location="Moves!K133" display="Strong Legs" xr:uid="{676B2AFA-32E7-43D0-A41C-394162144A5D}"/>
    <hyperlink ref="S87" location="Moves!K77" display="Fur Coat" xr:uid="{7B29586B-B63D-4A90-9743-6B1196978D07}"/>
    <hyperlink ref="T87" location="Moves!K141" display="Adaptability" xr:uid="{C917E893-2FD0-45FA-AFA6-5694B1023B82}"/>
    <hyperlink ref="U87" location="Moves!K133" display="Strong Legs" xr:uid="{2AD6E27A-5741-44F0-B139-99330675E1C5}"/>
    <hyperlink ref="S88" location="Moves!K30" display="Synchronize" xr:uid="{63AF767B-26AF-446A-89CD-DD165FBDF3F3}"/>
    <hyperlink ref="T88" location="Moves!K141" display="Adaptability" xr:uid="{95C1893A-5EAB-4FE5-8603-C1F08E5F2FDD}"/>
    <hyperlink ref="U88" location="Moves!K181" display="Magic Bounce" xr:uid="{8E827FC6-90BA-4666-A567-794094A1BE63}"/>
    <hyperlink ref="S89" location="Moves!K30" display="Synchronize" xr:uid="{49B43787-568C-49E4-8089-36E50FD993D1}"/>
    <hyperlink ref="T89" location="Moves!K141" display="Adaptability" xr:uid="{02CE2784-8689-4FA0-9D65-81711687DD38}"/>
    <hyperlink ref="U89" location="Moves!K55" display="Inner Focus" xr:uid="{1396E9A3-7EC1-4A8F-8610-C1D9AA1C1FBA}"/>
    <hyperlink ref="S90" location="Moves!K36" display="Leaf Guard" xr:uid="{3D071818-6AF7-412E-A334-200F08646FE8}"/>
    <hyperlink ref="T90" location="Moves!K141" display="Adaptability" xr:uid="{5305AF62-6533-44CC-820A-1709FD9E5ADD}"/>
    <hyperlink ref="U90" location="Moves!K9" display="Chlorophyll" xr:uid="{BFCBB3A2-8871-46A0-9278-C327917BB860}"/>
    <hyperlink ref="S91" location="Moves!K37" display="Snow Cloak" xr:uid="{7F812C5E-D2F2-4E53-AF04-C5A3D118936B}"/>
    <hyperlink ref="T91" location="Moves!K141" display="Adaptability" xr:uid="{754D549D-8D66-4603-A0DA-E2172FE8ACCF}"/>
    <hyperlink ref="U91" location="Moves!K151" display="Ice Body" xr:uid="{61E0DC6D-FBC1-4000-A29F-821B9B5B2CFC}"/>
    <hyperlink ref="S92" location="Moves!K38" display="Cute Charm" xr:uid="{C177FEA3-E535-40B4-BF77-4BC14F3A7362}"/>
    <hyperlink ref="T92" location="Moves!K141" display="Adaptability" xr:uid="{C4BB0DFD-B50F-4F71-B425-1931A4EB9A50}"/>
    <hyperlink ref="U92" location="Moves!K159" display="Pixilate" xr:uid="{81CF52FA-2C6C-4F03-931A-0AA1937C359F}"/>
    <hyperlink ref="S93" location="Moves!K39" display="Sap Sipper" xr:uid="{0A624EEE-BBEB-4121-A29C-8869782F4F75}"/>
    <hyperlink ref="T93" location="Moves!K142" display="Grass Pelt" xr:uid="{B1EC3D45-F1B4-4A8D-961E-C24F4B960369}"/>
    <hyperlink ref="U93" location="Moves!K126" display="Seed Sower" xr:uid="{5944BFCD-2D65-4F22-9077-7C65E93E1B39}"/>
    <hyperlink ref="S94" location="Moves!K39" display="Sap Sipper" xr:uid="{1CB1E5DA-8ED1-4C33-9EB8-80CF7C77D389}"/>
    <hyperlink ref="T94" location="Moves!K142" display="Grass Pelt" xr:uid="{785E3254-EB5A-4A5D-9A84-B0EC072C77B2}"/>
    <hyperlink ref="U94" location="Moves!K126" display="Seed Sower" xr:uid="{B1C807D5-236A-4595-89C2-E7B3A7106C9F}"/>
    <hyperlink ref="S95" location="Moves!K40" display="Insomnia" xr:uid="{6C203C7B-4FFE-4E58-9BFE-0F5B5892F905}"/>
    <hyperlink ref="T95" location="Moves!K143" display="Super Luck" xr:uid="{2DAA87B6-50F8-40F3-AE5C-C16788F858F1}"/>
    <hyperlink ref="U95" location="Moves!K108" display="Prankster" xr:uid="{3A349E83-5D53-4F61-AF68-3040699D388B}"/>
    <hyperlink ref="S96" location="Moves!K41" display="Moxie" xr:uid="{8147388A-B080-4DB8-9581-C83CE3B32DF5}"/>
    <hyperlink ref="T96" location="Moves!K143" display="Super Luck" xr:uid="{1E3F9858-2283-4C91-8C44-25F18A552B40}"/>
    <hyperlink ref="U96" location="Moves!K108" display="Prankster" xr:uid="{6231F092-97C0-476B-973E-7192218F76EF}"/>
    <hyperlink ref="S97" location="Moves!K42" display="Dancer" xr:uid="{CA780C71-E11C-4014-BB71-3E306DD42C38}"/>
    <hyperlink ref="S98" location="Moves!K43" display="Sand Veil" xr:uid="{3AEFD8E6-A8AC-4EBF-BAB0-86AFBF60BFBA}"/>
    <hyperlink ref="T98" location="Moves!K134" display="Sand Rush" xr:uid="{86EC60D8-FF71-4FF1-9133-9BA68DABC963}"/>
    <hyperlink ref="U98" location="Moves!K182" display="Earth Eater" xr:uid="{2C0F1B17-E852-46BD-9541-58C0CA8FB33B}"/>
    <hyperlink ref="S99" location="Moves!K43" display="Sand Veil" xr:uid="{E78678F1-5F47-438B-828B-2194307C7477}"/>
    <hyperlink ref="T99" location="Moves!K134" display="Sand Rush" xr:uid="{227A94CC-53AB-4FD1-A0A4-752B158EF0AE}"/>
    <hyperlink ref="U99" location="Moves!K182" display="Earth Eater" xr:uid="{C09C100E-9C86-46EC-BF3F-13454D3C6678}"/>
    <hyperlink ref="S100" location="Moves!K7" display="Intimidate" xr:uid="{15B1F03C-E844-4C4B-9F46-A45EEFA09698}"/>
    <hyperlink ref="T100" location="Moves!K41" display="Moxie" xr:uid="{694D67C6-BC36-4286-8BB4-F8E84F30281B}"/>
    <hyperlink ref="U100" location="Moves!K156" display="Anger Point" xr:uid="{369A624C-8005-48CC-B72A-5EA6A6F7616E}"/>
    <hyperlink ref="S101" location="Moves!K7" display="Intimidate" xr:uid="{E144CABE-F672-4B8B-B98F-F70F37263A65}"/>
    <hyperlink ref="T101" location="Moves!K41" display="Moxie" xr:uid="{B7BF621C-EB7B-4803-8324-3A59CADE522D}"/>
    <hyperlink ref="U101" location="Moves!K156" display="Anger Point" xr:uid="{E4712747-4B30-447D-A003-74102715642D}"/>
    <hyperlink ref="S102" location="Moves!K7" display="Intimidate" xr:uid="{6E5F2688-FB98-4424-892E-F676D536C23A}"/>
    <hyperlink ref="T102" location="Moves!K41" display="Moxie" xr:uid="{FFF9F999-33EC-4D15-A2EA-2E9B1FF570DD}"/>
    <hyperlink ref="U102" location="Moves!K156" display="Anger Point" xr:uid="{0F989F34-0435-4872-ADE5-6FBC5CD97E59}"/>
    <hyperlink ref="S103" location="Moves!K18" display="Sturdy" xr:uid="{F7DE0658-2974-4891-BD03-E0F3C45FA860}"/>
    <hyperlink ref="T103" location="Moves!K112" display="Magnet Pull" xr:uid="{4396BAA2-1666-40A1-9473-95BA3127B5B5}"/>
    <hyperlink ref="U103" location="Moves!K183" display="Sand Force" xr:uid="{22E77197-E107-4FBB-BBF5-BD967A9524F4}"/>
    <hyperlink ref="S104" location="Moves!K18" display="Sturdy" xr:uid="{29D77494-5FA3-4F3C-B2B4-7EE838509E0F}"/>
    <hyperlink ref="T104" location="Moves!K112" display="Magnet Pull" xr:uid="{2606A3B0-4BDB-4FB2-AC1B-2A048853B183}"/>
    <hyperlink ref="U104" location="Moves!K183" display="Sand Force" xr:uid="{7666B9F2-BD58-4A89-AA37-4E79AE7325CD}"/>
    <hyperlink ref="S105" location="Moves!K44" display="Hyper Cutter" xr:uid="{C7E96C46-919D-4951-BBBF-6FAADF469FC1}"/>
    <hyperlink ref="T105" location="Moves!K7" display="Intimidate" xr:uid="{F4A7D430-37C8-4BEC-87FE-DC4E0F24ED70}"/>
    <hyperlink ref="U105" location="Moves!K184" display="Huge Power" xr:uid="{C7EFF32D-6A3E-47D8-9552-4E2C48FC21B4}"/>
    <hyperlink ref="S106" location="Moves!K8" display="Keen Eye" xr:uid="{8DE019A8-0A3F-42A2-85A1-17BD52865878}"/>
    <hyperlink ref="T106" location="Moves!K6" display="Vital Spirit" xr:uid="{9E467B18-0DEA-4BF3-B3B2-6309B8A4F670}"/>
    <hyperlink ref="U106" location="Moves!K31" display="Steadfast" xr:uid="{A8F7E809-443A-4EDB-9F76-B5EF107A9912}"/>
    <hyperlink ref="S107" location="Moves!K8" display="Keen Eye" xr:uid="{CD96E7E2-D2E4-4109-8A71-C557A3090693}"/>
    <hyperlink ref="T107" location="Moves!K71" display="Strong Jaw" xr:uid="{DD5AE160-DFE1-4731-AB65-113309CCF196}"/>
    <hyperlink ref="U107" location="Moves!K31" display="Steadfast" xr:uid="{28170F1A-6842-4CD7-984F-2B9596A911FF}"/>
    <hyperlink ref="S108" location="Moves!K45" display="Regenerator" xr:uid="{1EB8468F-2252-4B55-AEE8-24DB654E289C}"/>
    <hyperlink ref="T108" location="Moves!K95" display="Overcoat" xr:uid="{63738AD9-1661-4CBD-BCE7-71416F8C881F}"/>
    <hyperlink ref="U108" location="Moves!K84" display="Weak Armor" xr:uid="{1677203B-05CB-45E5-95EE-D3DFAA90EA20}"/>
    <hyperlink ref="S109" location="Moves!K45" display="Regenerator" xr:uid="{997C57A7-2D83-45DD-B964-96B295A4606D}"/>
    <hyperlink ref="T109" location="Moves!K95" display="Overcoat" xr:uid="{75E6A3A1-2FD2-4026-92CD-974A691265B5}"/>
    <hyperlink ref="U109" location="Moves!K84" display="Weak Armor" xr:uid="{C325F157-7C08-4F53-BAF9-5EC5CFD2A617}"/>
    <hyperlink ref="S110" location="Moves!K28" display="Unaware" xr:uid="{63EB3191-5705-40DE-B855-2ED7AA7CF293}"/>
    <hyperlink ref="T110" location="Moves!K144" display="Harvest" xr:uid="{22AAFF4E-F0EB-447B-98F1-E62C3A4B35D7}"/>
    <hyperlink ref="U110" location="Moves!K165" display="Simple" xr:uid="{307011CE-C10D-4DEE-AC33-CFBE61B889E9}"/>
    <hyperlink ref="S111" location="Moves!K28" display="Unaware" xr:uid="{B1364420-1C8F-4116-8207-4BCC356202E6}"/>
    <hyperlink ref="T111" location="Moves!K144" display="Harvest" xr:uid="{3AA578C5-6378-4E18-885F-F25D86D0115F}"/>
    <hyperlink ref="U111" location="Moves!K165" display="Simple" xr:uid="{3EA78A98-9E17-4CCA-85B2-F54495445DB2}"/>
    <hyperlink ref="S112" location="Moves!K18" display="Sturdy" xr:uid="{FEE169DA-27ED-43C7-976F-DEB54E05FB71}"/>
    <hyperlink ref="T112" location="Moves!K20" display="Rock Head" xr:uid="{766BC72C-40CB-4CE0-8499-4F572A4D2AD5}"/>
    <hyperlink ref="U112" location="Moves!K185" display="Heavy Metal" xr:uid="{F3E4AD53-5465-48EF-97F4-FC91FCCB8504}"/>
    <hyperlink ref="S113" location="Moves!K18" display="Sturdy" xr:uid="{DDEF810A-CE2C-438A-89B8-8F5C2929FAC6}"/>
    <hyperlink ref="T113" location="Moves!K20" display="Rock Head" xr:uid="{E28F8ECB-943E-4732-8CF9-140DAB978770}"/>
    <hyperlink ref="U113" location="Moves!K186" display="Dragon's Maw" xr:uid="{E800C7F4-F623-49F3-9299-CE4D4B702CE4}"/>
    <hyperlink ref="S114" location="Moves!K18" display="Sturdy" xr:uid="{C0BDB608-30AA-4871-B580-48863DB949BF}"/>
    <hyperlink ref="T114" location="Moves!K20" display="Rock Head" xr:uid="{43F81D86-D79F-4428-A46A-3A192A2F5DC2}"/>
    <hyperlink ref="U114" location="Moves!K186" display="Dragon's Maw" xr:uid="{61944504-5CAA-4857-98C3-A2C3BE5355A5}"/>
    <hyperlink ref="S115" location="Moves!K46" display="Guts" xr:uid="{1D090516-9A3A-4453-8A57-5EF6BAEF5C56}"/>
    <hyperlink ref="T115" location="Moves!K72" display="Sheer Force" xr:uid="{B9D2A6A3-904B-42ED-BBC0-AFC2778F2BCD}"/>
    <hyperlink ref="U115" location="Moves!K93" display="Iron Fist" xr:uid="{624B54A0-1089-4567-99DC-0400E0019CA0}"/>
    <hyperlink ref="S116" location="Moves!K46" display="Guts" xr:uid="{94A96837-4AFE-461C-B25B-B92C5B4FBA1C}"/>
    <hyperlink ref="T116" location="Moves!K72" display="Sheer Force" xr:uid="{995D9C4C-213D-4351-ABCA-44E259968163}"/>
    <hyperlink ref="U116" location="Moves!K93" display="Iron Fist" xr:uid="{F8722737-5841-455C-BEDF-0F1BBFB66653}"/>
    <hyperlink ref="S117" location="Moves!K46" display="Guts" xr:uid="{E0A22ABD-9B3F-41B8-B2F2-26DA215C3265}"/>
    <hyperlink ref="T117" location="Moves!K72" display="Sheer Force" xr:uid="{E0C6ABCA-D51F-4ADD-81F4-E1893AE27701}"/>
    <hyperlink ref="U117" location="Moves!K93" display="Iron Fist" xr:uid="{6DE07C53-1FFC-4FC4-A0A0-E07727A77E67}"/>
    <hyperlink ref="S118" location="Moves!K47" display="Anger Shell" xr:uid="{28245080-1783-4DFE-81D5-738358B84465}"/>
    <hyperlink ref="T118" location="Moves!K96" display="Shell Armor" xr:uid="{49BB5FB1-674C-48A6-9175-1CADEC9D63CB}"/>
    <hyperlink ref="U118" location="Moves!K45" display="Regenerator" xr:uid="{B9049D90-3AD1-46B0-B5F9-70E7BBCB67BD}"/>
    <hyperlink ref="S119" location="Moves!K33" display="Water Absorb" xr:uid="{48A98C0F-D08D-4815-8F64-F46D3619A11A}"/>
    <hyperlink ref="T119" location="Moves!K50" display="Damp" xr:uid="{B0889B5B-E88D-4EE6-8633-74218DBBF127}"/>
    <hyperlink ref="U119" location="Moves!K79" display="Swift Swim" xr:uid="{F3B7C224-B92A-423D-9495-9A00727557ED}"/>
    <hyperlink ref="S120" location="Moves!K33" display="Water Absorb" xr:uid="{95593899-A520-4ACD-A002-60C68F7525AC}"/>
    <hyperlink ref="T120" location="Moves!K50" display="Damp" xr:uid="{42E9CDD2-FB39-46CE-A723-28314F2347AB}"/>
    <hyperlink ref="U120" location="Moves!K79" display="Swift Swim" xr:uid="{03EBEAC9-0186-4EA4-805A-014E6E09CCEA}"/>
    <hyperlink ref="S121" location="Moves!K33" display="Water Absorb" xr:uid="{8195DD20-04AD-44F7-8955-B026BB9C9170}"/>
    <hyperlink ref="T121" location="Moves!K50" display="Damp" xr:uid="{564FF68E-36B2-4C75-85AA-E5E9068979FA}"/>
    <hyperlink ref="U121" location="Moves!K79" display="Swift Swim" xr:uid="{7C31D65E-3B1F-4318-BAC3-DA61E98D1C33}"/>
    <hyperlink ref="S122" location="Moves!K33" display="Water Absorb" xr:uid="{0218158A-2DFD-437A-B4EE-A84733970642}"/>
    <hyperlink ref="T122" location="Moves!K50" display="Damp" xr:uid="{9CA6D757-5459-4BDB-AC5F-BA9E8AB585CC}"/>
    <hyperlink ref="U122" location="Moves!K150" display="Drizzle" xr:uid="{97A87C46-5A95-4350-9608-A6EEA5A4B081}"/>
    <hyperlink ref="S123" location="Moves!K48" display="Tangling Hair" xr:uid="{B4B65A3E-4FB6-4169-A5D3-224BA84B2C36}"/>
    <hyperlink ref="T123" location="Moves!K94" display="Frisk" xr:uid="{176A84C2-7632-4C5D-B2A2-4AE7EE640958}"/>
    <hyperlink ref="U123" location="Moves!K40" display="Insomnia" xr:uid="{737A03D7-7C68-442C-8AB9-0F35BE5F5C1F}"/>
    <hyperlink ref="S124" location="Moves!K48" display="Tangling Hair" xr:uid="{A727BBC7-375D-4B47-8701-3F2DA65E7E26}"/>
    <hyperlink ref="T124" location="Moves!K94" display="Frisk" xr:uid="{571F2F9F-8CA0-4546-9414-7223DD81C7D2}"/>
    <hyperlink ref="U124" location="Moves!K40" display="Insomnia" xr:uid="{B9C8476C-59C1-4054-A719-0775AABEAA5D}"/>
    <hyperlink ref="S125" location="Moves!K16" display="Effect Spore" xr:uid="{9393C4A4-881F-4508-A8BC-C6075166BDBE}"/>
    <hyperlink ref="T125" location="Moves!K145" display="Poison Heal" xr:uid="{B23CE3CB-D993-4978-888C-6A21874F6933}"/>
    <hyperlink ref="U125" location="Moves!K187" display="Quick Feet" xr:uid="{7483DE22-418F-4FBF-ADAE-D2B8EC393C82}"/>
    <hyperlink ref="S126" location="Moves!K16" display="Effect Spore" xr:uid="{3B82DA70-2597-4150-9DE8-20770AAEA638}"/>
    <hyperlink ref="T126" location="Moves!K145" display="Poison Heal" xr:uid="{EC7B787D-2E9F-483B-AA66-70BFE95C2301}"/>
    <hyperlink ref="U126" location="Moves!K49" display="Technician" xr:uid="{093525F6-97C9-4F7A-92A1-F1333CF6177A}"/>
    <hyperlink ref="S127" location="Moves!K13" display="Swarm" xr:uid="{A821B75C-2681-48B5-A816-7D665F3EE8EE}"/>
    <hyperlink ref="T127" location="Moves!K46" display="Guts" xr:uid="{060F2063-F9C2-4F07-846D-FC81C51A55F8}"/>
    <hyperlink ref="U127" location="Moves!K41" display="Moxie" xr:uid="{0712078E-DC8E-42F0-80DB-F0B24DBF8DDC}"/>
    <hyperlink ref="S128" location="Moves!K40" display="Insomnia" xr:uid="{EEC4B886-7782-42B6-A7F4-CEBFAA4DF74A}"/>
    <hyperlink ref="T128" location="Moves!K94" display="Frisk" xr:uid="{0DB0D345-9037-45D9-B2D4-45DE5FCAFD31}"/>
    <hyperlink ref="U128" location="Moves!K123" display="Cursed Body" xr:uid="{58D11889-0337-4F87-904A-2D598778BF76}"/>
    <hyperlink ref="S129" location="Moves!K40" display="Insomnia" xr:uid="{BEDACB61-2BB2-4A35-87EE-524CFBBEA65B}"/>
    <hyperlink ref="T129" location="Moves!K94" display="Frisk" xr:uid="{789C1417-3AC6-4013-9673-5E2D7BD2C423}"/>
    <hyperlink ref="U129" location="Moves!K123" display="Cursed Body" xr:uid="{2CCF0FCC-1EFB-42B8-800F-D9BAB6384B1F}"/>
    <hyperlink ref="S130" location="Moves!K49" display="Technician" xr:uid="{5E171D6B-F8DB-455D-9911-D2FA75ED3A1C}"/>
    <hyperlink ref="T130" location="Moves!K17" display="Pickup" xr:uid="{7C7348B3-A2FA-459D-990D-30F4AF5FB059}"/>
    <hyperlink ref="U130" location="Moves!K67" display="Skill Link" xr:uid="{65030734-3013-4FFA-9523-7ABA0562A003}"/>
    <hyperlink ref="S131" location="Moves!K49" display="Technician" xr:uid="{2E123153-75E6-4D03-AF27-4EB5187B615A}"/>
    <hyperlink ref="T131" location="Moves!K17" display="Pickup" xr:uid="{03A9DFA1-CDFD-49C2-91A6-784D10579A53}"/>
    <hyperlink ref="U131" location="Moves!K67" display="Skill Link" xr:uid="{3406FB83-2FEA-45D5-BA8B-EA36AC2DC242}"/>
    <hyperlink ref="S132" location="Moves!K36" display="Leaf Guard" xr:uid="{69E061D7-936A-4E6F-BB75-3C0BAF87C905}"/>
    <hyperlink ref="T132" location="Moves!K101" display="Oblivious" xr:uid="{28AE308D-FAA1-48AF-88F6-1358D7FF1F16}"/>
    <hyperlink ref="U132" location="Moves!K179" display="Sweet Veil" xr:uid="{9B1EEFA2-6FDB-4E64-A5E7-59E5C0115E22}"/>
    <hyperlink ref="S133" location="Moves!K36" display="Leaf Guard" xr:uid="{0FF95768-6896-4A27-B998-872CF0FC8FEA}"/>
    <hyperlink ref="T133" location="Moves!K101" display="Oblivious" xr:uid="{6A8E9556-DEE4-430F-A79A-C0CBD18D8E29}"/>
    <hyperlink ref="U133" location="Moves!K179" display="Sweet Veil" xr:uid="{454D155A-6917-44A5-BCAB-E3E3773F3366}"/>
    <hyperlink ref="S134" location="Moves!K36" display="Leaf Guard" xr:uid="{73F13BD8-1E7C-4E1D-A35C-863E6E4CFA5A}"/>
    <hyperlink ref="T134" location="Moves!K146" display="Queenly Majesty" xr:uid="{33FF9E46-FE69-407E-9185-4374B9D3D85C}"/>
    <hyperlink ref="U134" location="Moves!K133" display="Strong Legs" xr:uid="{F6957F5F-791F-4C9C-B6E1-D9E73C6C58B7}"/>
    <hyperlink ref="S135" location="Moves!K50" display="Damp" xr:uid="{950BF85A-48B4-4290-9D0C-3DD6D049FBAA}"/>
    <hyperlink ref="T135" location="Moves!K33" display="Water Absorb" xr:uid="{6377E3D3-0C35-45E8-A06A-DAD8C0057D52}"/>
    <hyperlink ref="U135" location="Moves!K28" display="Unaware" xr:uid="{B0FAEAA2-C11A-4B0C-A50E-51E22DFE6CAD}"/>
    <hyperlink ref="S136" location="Moves!K50" display="Damp" xr:uid="{786F6888-6DDC-4BB2-B82C-FB83A09EF2C0}"/>
    <hyperlink ref="T136" location="Moves!K33" display="Water Absorb" xr:uid="{5A4555C3-DE1A-4B6E-87B1-FC3DEDA0EC4E}"/>
    <hyperlink ref="U136" location="Moves!K28" display="Unaware" xr:uid="{1BDB16F1-A139-41DA-B837-1229065D34C9}"/>
    <hyperlink ref="S137" location="Moves!K51" display="Poison Point" xr:uid="{8D15B30E-CD33-42F7-A7B0-C56B5B70821E}"/>
    <hyperlink ref="T137" location="Moves!K33" display="Water Absorb" xr:uid="{84855609-221A-4B80-AE95-30B2E1233361}"/>
    <hyperlink ref="U137" location="Moves!K28" display="Unaware" xr:uid="{00594A8A-BE85-47F3-994A-0513E1EFA9E6}"/>
    <hyperlink ref="S138" location="Moves!K52" display="Mycelium Might" xr:uid="{3AA20145-D183-4AA2-9481-C3955E4B942E}"/>
    <hyperlink ref="U138" location="Moves!K16" display="Effect Spore" xr:uid="{5AFD4BC8-ACF2-46B1-9BC6-855F13398EBB}"/>
    <hyperlink ref="S139" location="Moves!K52" display="Mycelium Might" xr:uid="{ACF86AC3-442D-4169-95B7-5B5A17C95569}"/>
    <hyperlink ref="U139" location="Moves!K16" display="Effect Spore" xr:uid="{83E16FEB-3086-4EEC-A621-79430130D8F9}"/>
    <hyperlink ref="S140" location="Moves!K53" display="Lightning Rod" xr:uid="{725ED8D1-B89A-4003-80C4-FCB4F7559699}"/>
    <hyperlink ref="T140" location="Moves!K147" display="Motor Drive" xr:uid="{E9A37A36-462C-473A-9591-9ABBF17B4714}"/>
    <hyperlink ref="U140" location="Moves!K39" display="Sap Sipper" xr:uid="{B98E6F30-B83F-49F2-954A-66FAB7166A06}"/>
    <hyperlink ref="S141" location="Moves!K53" display="Lightning Rod" xr:uid="{22067591-CF40-4DBC-9886-E90EE16D7601}"/>
    <hyperlink ref="T141" location="Moves!K147" display="Motor Drive" xr:uid="{6CD597F4-CAA5-426E-981F-E6DD872D63E6}"/>
    <hyperlink ref="U141" location="Moves!K39" display="Sap Sipper" xr:uid="{56D001D8-D4B3-47B3-BB52-C3C5388C11FA}"/>
    <hyperlink ref="S142" location="Moves!K54" display="Analytic" xr:uid="{BA823E0C-9578-494C-AF56-07C940A5C39F}"/>
    <hyperlink ref="T142" location="Moves!K8" display="Keen Eye" xr:uid="{A63EF84B-75CB-4038-8BA0-FD381CBCED01}"/>
    <hyperlink ref="U142" location="Moves!K127" display="Tinted Lens" xr:uid="{8B36322D-5BB6-440D-BA69-1F9040980E65}"/>
    <hyperlink ref="S143" location="Moves!K201" display="Shadow Tag" xr:uid="{3E18EEAA-1309-40E1-B0A7-766E85CD7362}"/>
    <hyperlink ref="T143" location="Moves!K8" display="Keen Eye" xr:uid="{9DE31E7C-5C67-42A4-943A-DF522FEB65D7}"/>
    <hyperlink ref="U143" location="Moves!K127" display="Tinted Lens" xr:uid="{1E710E6A-CAD9-486C-BFE3-750EFA4304B0}"/>
    <hyperlink ref="S144" location="Moves!K55" display="Inner Focus" xr:uid="{0DC673DD-F063-41E3-9EC3-270BB9975709}"/>
    <hyperlink ref="T144" location="Moves!K45" display="Regenerator" xr:uid="{3F453435-70B8-42D4-89DF-58D6F3D731D7}"/>
    <hyperlink ref="U144" location="Moves!K106" display="Reckless" xr:uid="{1894FB7A-BAF4-4DA9-8772-C60BD2BD9E16}"/>
    <hyperlink ref="S145" location="Moves!K55" display="Inner Focus" xr:uid="{BFA5E01F-3FC0-4CAA-8B03-1A492BCC8CC6}"/>
    <hyperlink ref="T145" location="Moves!K45" display="Regenerator" xr:uid="{7CD57CEF-A9BA-4F00-BC3C-86BFDBEA1335}"/>
    <hyperlink ref="U145" location="Moves!K106" display="Reckless" xr:uid="{2492D7C2-D47B-4893-9AE9-AAFC8F9C55CD}"/>
    <hyperlink ref="S146" location="Moves!K56" display="Anticipation" xr:uid="{7F2A8BD9-F4E7-4603-9DC9-74303068C461}"/>
    <hyperlink ref="T146" location="Moves!K94" display="Frisk" xr:uid="{765AE404-7DF4-4CA0-B818-77ACAD77944B}"/>
    <hyperlink ref="U146" location="Moves!K11" display="Speed Boost" xr:uid="{DB67F9D3-8656-4C35-B3BC-FE84773F2966}"/>
    <hyperlink ref="S147" location="Moves!K57" display="Opportunist" xr:uid="{A6FA48AE-39CA-4748-9D5A-6653952B2577}"/>
    <hyperlink ref="T147" location="Moves!K94" display="Frisk" xr:uid="{2A885C09-E53E-430D-B5ED-67E1D7761595}"/>
    <hyperlink ref="U147" location="Moves!K11" display="Speed Boost" xr:uid="{13DC2837-1ADC-44AE-8AF5-B305851E8AF4}"/>
    <hyperlink ref="S148" location="Moves!K35" display="Flash Fire" xr:uid="{66223F2F-AF7E-4C58-B88D-AE780F3D6E9F}"/>
    <hyperlink ref="U148" location="Moves!K164" display="Drought" xr:uid="{46F04CE4-D610-4CBB-96F0-6C58ABA697F5}"/>
    <hyperlink ref="S149" location="Moves!K35" display="Flash Fire" xr:uid="{B7131913-2D6B-4850-A682-C8985103DD4B}"/>
    <hyperlink ref="U149" location="Moves!K164" display="Drought" xr:uid="{86E1CE34-23C0-413E-AE54-7138D3B4EEA5}"/>
    <hyperlink ref="S150" location="Moves!K58" display="No Guard" xr:uid="{3AF8E6BA-E554-47C7-AD60-EE5BC1E51E3F}"/>
    <hyperlink ref="S151" location="Moves!K58" display="No Guard" xr:uid="{DF6D0817-411C-4D85-9227-CA3A7D1B2508}"/>
    <hyperlink ref="S152" location="Moves!K59" display="Stance Change" xr:uid="{E82AA5D3-DBB8-474E-B54A-6A8F1F3B17EA}"/>
    <hyperlink ref="S153" location="Moves!K18" display="Sturdy" xr:uid="{70F29201-ED13-4208-B123-31B12A1B55FF}"/>
    <hyperlink ref="T153" location="Moves!K96" display="Shell Armor" xr:uid="{2300129B-7DB5-4DDF-B131-4987FD2CBED1}"/>
    <hyperlink ref="U153" location="Moves!K84" display="Weak Armor" xr:uid="{9B9A31D9-181C-4F42-9834-445E7626159F}"/>
    <hyperlink ref="S154" location="Moves!K18" display="Sturdy" xr:uid="{91A4A33D-F11F-4C46-9FCE-059BD2FE3D09}"/>
    <hyperlink ref="T154" location="Moves!K96" display="Shell Armor" xr:uid="{7CAA90DD-FA3E-43B6-88B7-7169A9F6F8DF}"/>
    <hyperlink ref="U154" location="Moves!K84" display="Weak Armor" xr:uid="{D42D4B16-9B34-4454-AED1-3DBE08DB56FD}"/>
    <hyperlink ref="S155" location="Moves!K60" display="Shields Down" xr:uid="{BC850D70-2550-40D7-86D8-3CE8433E89B2}"/>
    <hyperlink ref="S156" location="Moves!K15" display="Levitate" xr:uid="{1BBE10C2-C7E1-4199-821C-2C7B001452FC}"/>
    <hyperlink ref="S157" location="Moves!K15" display="Levitate" xr:uid="{81296D72-9864-4D2D-A0B1-810C4ECB677E}"/>
    <hyperlink ref="S158" location="Moves!K15" display="Levitate" xr:uid="{EB765478-22CD-47A9-9D7A-5D3FD8418C22}"/>
    <hyperlink ref="S159" location="Moves!K15" display="Levitate" xr:uid="{005AA423-784E-40DC-9A80-A9DB6AD64649}"/>
    <hyperlink ref="U159" location="Moves!K188" display="Hustle" xr:uid="{377C2C8D-B683-4549-B03F-C61B09965ED3}"/>
    <hyperlink ref="S160" location="Moves!K15" display="Levitate" xr:uid="{DE0CB526-D452-4C0E-ABE6-64CBF6603590}"/>
    <hyperlink ref="U160" location="Moves!K184" display="Huge Power" xr:uid="{28A25539-1CDC-4318-9F77-3AA64293752B}"/>
    <hyperlink ref="S161" location="Moves!K61" display="Corrosion" xr:uid="{F31768C3-0DC5-4D87-A583-26AD8EDC7350}"/>
    <hyperlink ref="U161" location="Moves!K101" display="Oblivious" xr:uid="{BB9C339B-6913-4B8A-9C8C-57B1CD800AF2}"/>
    <hyperlink ref="S162" location="Moves!K61" display="Corrosion" xr:uid="{6AA6D811-484D-41C5-9836-036CD669F063}"/>
    <hyperlink ref="U162" location="Moves!K101" display="Oblivious" xr:uid="{3E308A03-3A64-4FA3-9E9B-D7BE513E8C80}"/>
    <hyperlink ref="S163" location="Moves!K62" display="Water Veil" xr:uid="{E90BD90B-95FB-4184-86DC-93CA7967CC91}"/>
    <hyperlink ref="U163" location="Moves!K62" display="Water Veil" xr:uid="{4468DEB0-043A-4596-8346-0805C8C0DB44}"/>
    <hyperlink ref="S164" location="Moves!K63" display="Zero to Hero" xr:uid="{D050E33B-3B73-4F12-B767-8C6B69CB53A4}"/>
    <hyperlink ref="U164" location="Moves!K93" display="Iron Fist" xr:uid="{6398CA10-EFF1-4E9C-AE2D-286820B463CB}"/>
    <hyperlink ref="S165" location="Moves!K64" display="Serene Grace" xr:uid="{7F0A9A9D-E39C-45D2-98E4-767B1ABFFE4B}"/>
    <hyperlink ref="U165" location="Moves!K143" display="Super Luck" xr:uid="{C48E3086-0CBC-4681-BB6C-A072C454DD66}"/>
    <hyperlink ref="S166" location="Moves!K64" display="Serene Grace" xr:uid="{438D5865-C615-4EA3-9037-A6FEE5040667}"/>
    <hyperlink ref="U166" location="Moves!K143" display="Super Luck" xr:uid="{24A7A9DF-BD38-4D44-9555-8E76778A3243}"/>
    <hyperlink ref="S167" location="Moves!K64" display="Serene Grace" xr:uid="{4BBB0656-7620-4EB9-AB43-80B4E1877890}"/>
    <hyperlink ref="U167" location="Moves!K143" display="Super Luck" xr:uid="{21903F27-E89A-42CC-95B8-973366A75D8C}"/>
    <hyperlink ref="S168" location="Moves!K9" display="Chlorophyll" xr:uid="{2A9EFDE7-6063-49C7-9CC1-3FEAB0B4DAF5}"/>
    <hyperlink ref="S169" location="Moves!K65" display="Flower Gift" xr:uid="{7FAFDA58-A3DD-44CA-9228-27ACD58BF8A8}"/>
    <hyperlink ref="U169" location="Moves!K164" display="Drought" xr:uid="{11AFB8B1-2C93-4961-BCAF-23C9BF9ECC8E}"/>
    <hyperlink ref="S170" location="Moves!K66" display="Unnerve" xr:uid="{1C33AA46-A6F2-4AFF-B4E5-CC97892CFB3A}"/>
    <hyperlink ref="T170" location="Moves!K35" display="Flash Fire" xr:uid="{5484304C-B5EA-4A12-9DD9-BC35848D6392}"/>
    <hyperlink ref="U170" location="Moves!K189" display="Dark Aura" xr:uid="{F66D43B1-ECA9-4968-89C2-97EB9266568A}"/>
    <hyperlink ref="S171" location="Moves!K66" display="Unnerve" xr:uid="{C842BAB9-D70F-46E1-98FC-3F8BE97FD2CF}"/>
    <hyperlink ref="T171" location="Moves!K35" display="Flash Fire" xr:uid="{9388D800-CB7A-465D-B9EA-FFEA3D51646A}"/>
    <hyperlink ref="U171" location="Moves!K189" display="Dark Aura" xr:uid="{3B62C9E3-36FF-47BA-8C46-BA3C35F82260}"/>
    <hyperlink ref="S172" location="Moves!K67" display="Skill Link" xr:uid="{B6EE3917-4406-48E9-94C4-B72A5DFC4EC3}"/>
    <hyperlink ref="T172" location="Moves!K96" display="Shell Armor" xr:uid="{32208485-23E5-48B3-AE39-BDBB5C9CAD72}"/>
    <hyperlink ref="U172" location="Moves!K84" display="Weak Armor" xr:uid="{EFF70250-EA4F-462F-BA99-5926D35DADD5}"/>
    <hyperlink ref="S173" location="Moves!K67" display="Skill Link" xr:uid="{8126F8C6-4D92-4471-95AD-757E3B2D8873}"/>
    <hyperlink ref="T173" location="Moves!K96" display="Shell Armor" xr:uid="{6A965BE4-70ED-4B9A-8C8B-A33ABFAAB176}"/>
    <hyperlink ref="U173" location="Moves!K84" display="Weak Armor" xr:uid="{74B07236-C754-4764-9449-C8CF72D16D71}"/>
    <hyperlink ref="S174" location="Moves!K68" display="Sharpness" xr:uid="{1606E759-FAB4-4838-9937-354F9BA50AF1}"/>
    <hyperlink ref="T174" location="Moves!K69" display="Battle Armor" xr:uid="{8365142E-8042-4BD6-9C1A-B6D64913103B}"/>
    <hyperlink ref="U174" location="Moves!K84" display="Weak Armor" xr:uid="{D6362820-14AF-421A-96DC-63C6D6ACEF0D}"/>
    <hyperlink ref="S175" location="Moves!K68" display="Sharpness" xr:uid="{E74E2E03-5541-42D1-BBC9-F9AE0DF424B5}"/>
    <hyperlink ref="T175" location="Moves!K69" display="Battle Armor" xr:uid="{C331F096-2E5E-47EB-903C-33C9A7CAC5E5}"/>
    <hyperlink ref="U175" location="Moves!K84" display="Weak Armor" xr:uid="{D41D4044-EFAD-40BE-993C-347141FD7C5F}"/>
    <hyperlink ref="S176" location="Moves!K69" display="Battle Armor" xr:uid="{3666F2C5-5F91-4CDC-B774-9F9C9E66860B}"/>
    <hyperlink ref="T176" location="Moves!K148" display="Sniper" xr:uid="{9A058C8E-6FDA-4F87-BBA8-CEDBEA3D97F9}"/>
    <hyperlink ref="U176" location="Moves!K47" display="Anger Shell" xr:uid="{C9EF9DAA-E6EB-42B2-A020-CB5B05947FFB}"/>
    <hyperlink ref="S177" location="Moves!K69" display="Battle Armor" xr:uid="{0C1317BA-636C-41FC-AD22-CABD57A41E8D}"/>
    <hyperlink ref="T177" location="Moves!K148" display="Sniper" xr:uid="{5107D4E1-D77B-442F-8579-7274A3C28A3D}"/>
    <hyperlink ref="U177" location="Moves!K47" display="Anger Shell" xr:uid="{670A05FE-4368-473C-8FD9-492FAE914B9A}"/>
    <hyperlink ref="S178" location="Moves!K13" display="Swarm" xr:uid="{FE07831A-F31A-40BF-A0D2-CD11FFC8CC1B}"/>
    <hyperlink ref="T178" location="Moves!K40" display="Insomnia" xr:uid="{E2FCD9BC-E3F1-4D65-9CAD-E5BF0C75D9B6}"/>
    <hyperlink ref="U178" location="Moves!K148" display="Sniper" xr:uid="{CBBE8872-A500-4A18-870B-86EAA506219F}"/>
    <hyperlink ref="S179" location="Moves!K13" display="Swarm" xr:uid="{DEAF19FB-2ED7-454C-ABE8-6E08F631AF34}"/>
    <hyperlink ref="T179" location="Moves!K40" display="Insomnia" xr:uid="{359ABAF8-6C84-4672-812E-97AE992BCFF0}"/>
    <hyperlink ref="U179" location="Moves!K148" display="Sniper" xr:uid="{CA7D9611-9236-4407-8DF8-F35646B362CE}"/>
    <hyperlink ref="S180" location="Moves!K20" display="Rock Head" xr:uid="{8C94ACBA-E960-4DD5-83BD-1C3487D4DD94}"/>
    <hyperlink ref="T180" location="Moves!K18" display="Sturdy" xr:uid="{C9ED7BFA-672E-4CFA-B3AB-EE04E42C49D7}"/>
    <hyperlink ref="U180" location="Moves!K84" display="Weak Armor" xr:uid="{AF607E38-BE8C-4586-B278-3AE02167E1EA}"/>
    <hyperlink ref="S181" location="Moves!K20" display="Rock Head" xr:uid="{DD9ECC4F-3C6B-4A8D-8CFA-91476BB4067D}"/>
    <hyperlink ref="T181" location="Moves!K71" display="Strong Jaw" xr:uid="{13351FB2-1197-4E56-8B25-614C60935392}"/>
    <hyperlink ref="U181" location="Moves!K116" display="Sand Stream" xr:uid="{AC06C4A5-94D0-4CCF-ACBC-8A336440B6D5}"/>
    <hyperlink ref="S182" location="Moves!K70" display="Comatose" xr:uid="{A52E2346-36E2-444D-B85C-7A6E15BC8D59}"/>
    <hyperlink ref="U182" location="Moves!K90" display="Cheek Pouch" xr:uid="{82D339C7-6B94-4374-A8B2-A7770AE90DAE}"/>
    <hyperlink ref="S183" location="Moves!K8" display="Keen Eye" xr:uid="{66293D4B-BC3A-4078-956B-C9B15BE00369}"/>
    <hyperlink ref="T183" location="Moves!K149" display="Hydration" xr:uid="{FA48D6F3-C075-46E4-98D4-7B179D599769}"/>
    <hyperlink ref="U183" location="Moves!K190" display="Rain Dish" xr:uid="{C1AE34C7-653D-4BFE-85F0-3E5AC0B6FC2F}"/>
    <hyperlink ref="S184" location="Moves!K8" display="Keen Eye" xr:uid="{CB6DBE92-E0A5-40B1-85CD-1E9AAD3C9009}"/>
    <hyperlink ref="T184" location="Moves!K150" display="Drizzle" xr:uid="{5FAA2EB0-4B30-4EE3-9153-1523D8283626}"/>
    <hyperlink ref="U184" location="Moves!K190" display="Rain Dish" xr:uid="{4679241D-59DE-48D2-86CD-096969A28593}"/>
    <hyperlink ref="S185" location="Moves!K7" display="Intimidate" xr:uid="{916FDA12-D22F-4540-8367-298D9DEB99AA}"/>
    <hyperlink ref="T185" location="Moves!K39" display="Sap Sipper" xr:uid="{BBC7709A-CDB9-4449-A6ED-E1EA9B9D2692}"/>
    <hyperlink ref="U185" location="Moves!K94" display="Frisk" xr:uid="{5634393B-61B2-42A0-8D6E-DA12DEABC763}"/>
    <hyperlink ref="S186" location="Moves!K7" display="Intimidate" xr:uid="{3C29898B-3261-4F98-8666-9E800FE3667B}"/>
    <hyperlink ref="T186" location="Moves!K39" display="Sap Sipper" xr:uid="{9CD6AB2D-6C91-4594-A39C-E536F125F98E}"/>
    <hyperlink ref="U186" location="Moves!K54" display="Analytic" xr:uid="{997DA76E-D19D-44B0-99A0-A85AD70F06C5}"/>
    <hyperlink ref="S187" location="Moves!K55" display="Inner Focus" xr:uid="{3D8F45DB-6AEE-47DB-B95E-A07BAE502F34}"/>
    <hyperlink ref="T187" location="Moves!K151" display="Ice Body" xr:uid="{18FF7210-6116-473B-892B-660FBB641DE4}"/>
    <hyperlink ref="U187" location="Moves!K191" display="Moody" xr:uid="{06EE33BE-029F-44D6-8594-ABD276D4238E}"/>
    <hyperlink ref="S188" location="Moves!K71" display="Strong Jaw" xr:uid="{3510AD0D-B88F-4B9D-A189-37C454FB1A06}"/>
    <hyperlink ref="T188" location="Moves!K151" display="Ice Body" xr:uid="{5A731A89-2418-4F49-92DE-37574EC09BCE}"/>
    <hyperlink ref="U188" location="Moves!K191" display="Moody" xr:uid="{2D1197CA-7576-4A39-A039-2FFC3406B81B}"/>
    <hyperlink ref="S189" location="Moves!K37" display="Snow Cloak" xr:uid="{A90339E0-2FC5-4E69-9928-210E5FC75053}"/>
    <hyperlink ref="T189" location="Moves!K152" display="Ice Scales" xr:uid="{52FF0F71-EC96-4084-8EB5-BA65B154ED13}"/>
    <hyperlink ref="U189" location="Moves!K123" display="Cursed Body" xr:uid="{DE251E5D-4525-4D9C-9A59-37F76D12F332}"/>
    <hyperlink ref="S190" location="Moves!K29" display="Thick Layers" xr:uid="{50FDC0B9-EC0C-4E59-88E0-ECD090C13F82}"/>
    <hyperlink ref="T190" location="Moves!K77" display="Fur Coat" xr:uid="{1F6F15B3-9B25-4DD0-86D6-6FC7DE2413E5}"/>
    <hyperlink ref="U190" location="Moves!K152" display="Ice Scales" xr:uid="{FF891266-9B54-4139-8322-8AF48A8B3559}"/>
    <hyperlink ref="S191" location="Moves!K29" display="Thick Layers" xr:uid="{40FE150D-14F2-4BDF-BC14-2D8451CCF437}"/>
    <hyperlink ref="T191" location="Moves!K77" display="Fur Coat" xr:uid="{6AD572D1-4C61-43DF-9277-BA3C026E11C0}"/>
    <hyperlink ref="U191" location="Moves!K152" display="Ice Scales" xr:uid="{DD59E459-068A-493C-94C7-29F5DAE5E07F}"/>
    <hyperlink ref="S192" location="Moves!K29" display="Thick Layers" xr:uid="{A76FC39E-1BB6-40EE-8E08-33EB4420AC4A}"/>
    <hyperlink ref="T192" location="Moves!K77" display="Fur Coat" xr:uid="{B64C9560-0D15-4A85-8428-20160362780D}"/>
    <hyperlink ref="U192" location="Moves!K152" display="Ice Scales" xr:uid="{3D64909A-8D43-49BA-A346-DFE5D1A92399}"/>
    <hyperlink ref="S193" location="Moves!K29" display="Thick Layers" xr:uid="{11A3D94B-5512-4DB9-8468-625ECEA9A279}"/>
    <hyperlink ref="T193" location="Moves!K152" display="Ice Scales" xr:uid="{B1333B4E-984B-4F61-93AE-F50C4CADD693}"/>
    <hyperlink ref="U193" location="Moves!K151" display="Ice Body" xr:uid="{5AFCBEF4-5CB8-46DD-8A35-35F6608C3FF9}"/>
    <hyperlink ref="S194" location="Moves!K29" display="Thick Layers" xr:uid="{D1E56924-002A-4404-9512-45CDC91220EB}"/>
    <hyperlink ref="T194" location="Moves!K152" display="Ice Scales" xr:uid="{E9C02101-1105-4C2B-8690-4521577FDCEF}"/>
    <hyperlink ref="U194" location="Moves!K151" display="Ice Body" xr:uid="{A231B13E-3DA6-4385-92AB-8911AAB822F1}"/>
    <hyperlink ref="S195" location="Moves!K15" display="Levitate" xr:uid="{D403A572-D01C-4526-85F8-D90FBC0FBE15}"/>
    <hyperlink ref="T195" location="Moves!K153" display="Heatproof" xr:uid="{F169E741-DB8B-44AD-9A84-9E905A68671F}"/>
    <hyperlink ref="U195" location="Moves!K185" display="Heavy Metal" xr:uid="{51CFB297-AC54-47F4-91FA-9C73A171E276}"/>
    <hyperlink ref="S196" location="Moves!K15" display="Levitate" xr:uid="{BF9B054A-AB76-4DB4-951C-52E1210E4ACB}"/>
    <hyperlink ref="T196" location="Moves!K153" display="Heatproof" xr:uid="{7B0F349B-B7E4-4C40-A4D9-40890C60C03D}"/>
    <hyperlink ref="U196" location="Moves!K185" display="Heavy Metal" xr:uid="{D5CDEC4C-E932-41D8-A4DA-91396E008A84}"/>
    <hyperlink ref="S197" location="Moves!K72" display="Sheer Force" xr:uid="{D51733FF-5A2E-4FF2-8B57-D3F111AA5F2D}"/>
    <hyperlink ref="T197" location="Moves!K128" display="Long Reach" xr:uid="{4DD8C434-EE3C-49B7-BF38-6B6BBAB90C61}"/>
    <hyperlink ref="U197" location="Moves!K185" display="Heavy Metal" xr:uid="{54543E66-CF5C-4B5F-91AE-560C5DD94E69}"/>
    <hyperlink ref="S198" location="Moves!K72" display="Sheer Force" xr:uid="{2D1D67E0-8E3A-4F98-94F0-902DCC8D3F15}"/>
    <hyperlink ref="T198" location="Moves!K128" display="Long Reach" xr:uid="{AE4C9649-901E-414D-A856-465A97FA6A81}"/>
    <hyperlink ref="U198" location="Moves!K185" display="Heavy Metal" xr:uid="{296D83CF-6300-4A80-B766-CEB43361FDE1}"/>
    <hyperlink ref="S199" location="Moves!K73" display="Illusion" xr:uid="{F909E724-B49D-4BD4-BF90-E59CA3A10F95}"/>
    <hyperlink ref="U199" location="Moves!K87" display="Fluffy" xr:uid="{F18261E1-33F8-4C0F-8A05-FCBE71BAFB7E}"/>
    <hyperlink ref="S200" location="Moves!K73" display="Illusion" xr:uid="{83A9844E-7BE2-433C-9C9A-A51958E3FA09}"/>
    <hyperlink ref="U200" location="Moves!K87" display="Fluffy" xr:uid="{D05B554B-B9AA-46C4-8B4C-2D2E9EC514B2}"/>
    <hyperlink ref="S201" location="Moves!K55" display="Inner Focus" xr:uid="{31CC20E0-7E6E-41B6-84C2-D11DCACB67A7}"/>
    <hyperlink ref="T201" location="Moves!K8" display="Keen Eye" xr:uid="{CC90BE02-F25F-43F0-AA58-94FD99FD7345}"/>
    <hyperlink ref="U201" location="Moves!K154" display="Pickpocket" xr:uid="{1C573328-1623-4EC0-BB19-0E3E4E8770E4}"/>
    <hyperlink ref="S202" location="Moves!K74" display="Pressure" xr:uid="{8B5521A5-C688-479B-95DF-1A8737CE0C51}"/>
    <hyperlink ref="U202" location="Moves!K154" display="Pickpocket" xr:uid="{32725936-00F4-47E2-80DC-62C86B29D47B}"/>
    <hyperlink ref="S203" location="Moves!K74" display="Pressure" xr:uid="{2DB534E4-CFEB-453F-AAA9-7583123BEADE}"/>
    <hyperlink ref="T203" location="Moves!K78" display="Unburden" xr:uid="{6E4A7BAE-9739-4AFD-ADF0-AE0937D08A81}"/>
    <hyperlink ref="U203" location="Moves!K124" display="Poison Touch" xr:uid="{435F1ACF-8131-4A15-8299-4E652FC5E286}"/>
    <hyperlink ref="S204" location="Moves!K71" display="Strong Jaw" xr:uid="{63979861-2F53-406A-8A60-C752D1A4BE52}"/>
    <hyperlink ref="U204" location="Moves!K18" display="Sturdy" xr:uid="{195A32EB-6E76-4A25-BCD3-EAD1EC2A2C9B}"/>
    <hyperlink ref="S205" location="Moves!K71" display="Strong Jaw" xr:uid="{1B8BBFFE-FA81-4229-8AB9-220421073EB0}"/>
    <hyperlink ref="U205" location="Moves!K20" display="Rock Head" xr:uid="{C9600451-15FC-42BF-AC32-460B42994694}"/>
    <hyperlink ref="S206" location="Moves!K75" display="Refrigerate" xr:uid="{1F5DEDF5-2E29-4E87-9217-2CB624781F1B}"/>
    <hyperlink ref="U206" location="Moves!K192" display="Prism Armor" xr:uid="{D6B792E5-C7AD-4AC5-A124-EDB705DC7957}"/>
    <hyperlink ref="S207" location="Moves!K75" display="Refrigerate" xr:uid="{82F22AC4-16FB-43FF-83F7-54DA76532A40}"/>
    <hyperlink ref="U207" location="Moves!K192" display="Prism Armor" xr:uid="{3FEC59B3-796C-470B-B7E3-D3B0E2462B18}"/>
    <hyperlink ref="S208" location="Moves!K17" display="Pickup" xr:uid="{9BD2C3C1-F07A-4716-A6FB-8147766BF1AE}"/>
    <hyperlink ref="T208" location="Moves!K49" display="Technician" xr:uid="{87912493-2CC0-4A45-B871-BFD80EA447A2}"/>
    <hyperlink ref="U208" location="Moves!K66" display="Unnerve" xr:uid="{54E7820B-01A6-493F-AA07-2E039DB46B36}"/>
    <hyperlink ref="S209" location="Moves!K76" display="Limber" xr:uid="{588D6179-C837-42C5-B50E-B94559F04E47}"/>
    <hyperlink ref="T209" location="Moves!K49" display="Technician" xr:uid="{1ACE2F4D-CE49-4C45-83E1-54A3C31A4CB2}"/>
    <hyperlink ref="U209" location="Moves!K66" display="Unnerve" xr:uid="{78B5E7DC-D184-4381-BB3B-F3C5009F74D4}"/>
    <hyperlink ref="S210" location="Moves!K69" display="Battle Armor" xr:uid="{FF4EE827-4A23-4B64-8527-D8E13D2207FB}"/>
    <hyperlink ref="T210" location="Moves!K125" display="Tough Claws" xr:uid="{75A9039E-0C35-4333-9C41-3AC85A401071}"/>
    <hyperlink ref="U210" location="Moves!K193" display="Steely Spirit" xr:uid="{39D281D1-2DB9-4104-930E-0390A8BAACBB}"/>
    <hyperlink ref="S211" location="Moves!K77" display="Fur Coat" xr:uid="{60F1C71D-229D-4CD4-9F45-F96D23DA32E8}"/>
    <hyperlink ref="T211" location="Moves!K17" display="Pickup" xr:uid="{FAB578C2-58A6-4C0A-AA94-9B9EEC3A753A}"/>
    <hyperlink ref="U211" location="Moves!K34" display="Volt Absorb" xr:uid="{801C6EFA-CE97-4701-8ABE-21B50D3A3668}"/>
    <hyperlink ref="S212" location="Moves!K2" display="Overgrow" xr:uid="{44EB9597-F3C2-46CF-8AD8-B17431567A13}"/>
    <hyperlink ref="T212" location="Moves!K29" display="Thick Layers" xr:uid="{A4C42A09-F58E-4325-93F4-619E9056EC56}"/>
    <hyperlink ref="U212" location="Moves!K217" display="Triage" xr:uid="{F60C99EA-37FD-4AC0-8C68-D3EF24BBFD3E}"/>
    <hyperlink ref="S213" location="Moves!K2" display="Overgrow" xr:uid="{04BED68A-B88F-48B5-A2FB-07933742165C}"/>
    <hyperlink ref="T213" location="Moves!K29" display="Thick Layers" xr:uid="{4AD6C151-B9FE-4F61-BFD5-DDFE0D41FA1A}"/>
    <hyperlink ref="U213" location="Moves!K217" display="Triage" xr:uid="{472EFE42-560E-4E2A-A9B0-088C7AB5205C}"/>
    <hyperlink ref="S214" location="Moves!K2" display="Overgrow" xr:uid="{A12F1297-7970-4DA0-BFB2-472AFA322EDC}"/>
    <hyperlink ref="T214" location="Moves!K29" display="Thick Layers" xr:uid="{7CEB0C9F-09E0-4C68-8813-3BDDCFD6CCFD}"/>
    <hyperlink ref="U214" location="Moves!K217" display="Triage" xr:uid="{036FA8B3-C766-4136-8CC6-DF4DB4778CCC}"/>
    <hyperlink ref="S215" location="Moves!K3" display="Blaze" xr:uid="{521F3906-AA74-4B92-AC7C-8802720C7613}"/>
    <hyperlink ref="T215" location="Moves!K35" display="Flash Fire" xr:uid="{9EBD703E-55D8-4DA8-ADD1-56ECBA966216}"/>
    <hyperlink ref="U215" location="Moves!K136" display="Stamina" xr:uid="{35774F06-8934-41D7-BE9D-1E9BE998817E}"/>
    <hyperlink ref="S216" location="Moves!K3" display="Blaze" xr:uid="{8410B4FA-29A9-4EEA-8957-84DD14A41DCE}"/>
    <hyperlink ref="T216" location="Moves!K35" display="Flash Fire" xr:uid="{B171D470-5818-4EDC-B7D6-CE9BDDD489E7}"/>
    <hyperlink ref="U216" location="Moves!K136" display="Stamina" xr:uid="{0182686F-D8C6-4FBD-ADFD-72427CE34B73}"/>
    <hyperlink ref="S217" location="Moves!K3" display="Blaze" xr:uid="{9171F805-5AED-4E43-BEDF-F5323C6D7771}"/>
    <hyperlink ref="T217" location="Moves!K35" display="Flash Fire" xr:uid="{25781F8A-2016-4BD2-9DFE-8CD59F5A03DA}"/>
    <hyperlink ref="U217" location="Moves!K136" display="Stamina" xr:uid="{495F6744-F0E6-4B8D-AD19-DD92A7CF4783}"/>
    <hyperlink ref="S218" location="Moves!K4" display="Torrent" xr:uid="{4DE49893-B9A8-452C-A7C1-50E08F45C5B8}"/>
    <hyperlink ref="T218" location="Moves!K71" display="Strong Jaw" xr:uid="{11E1CFA1-8D07-4313-B1AD-DD59A9AD53B6}"/>
    <hyperlink ref="U218" location="Moves!K72" display="Sheer Force" xr:uid="{D58AEBDD-4244-48EA-8F95-86F770F137B8}"/>
    <hyperlink ref="S219" location="Moves!K4" display="Torrent" xr:uid="{1B27105A-C6EB-40EA-9C59-0D95F5BD7CEA}"/>
    <hyperlink ref="T219" location="Moves!K71" display="Strong Jaw" xr:uid="{8D10C922-CB96-4FF1-882F-9FBA5EF9AC02}"/>
    <hyperlink ref="U219" location="Moves!K72" display="Sheer Force" xr:uid="{B85415B2-EF50-4D76-9A65-DDA2CC7727A5}"/>
    <hyperlink ref="S220" location="Moves!K4" display="Torrent" xr:uid="{8081A7C9-1207-46E4-B89A-9016D7F6531F}"/>
    <hyperlink ref="T220" location="Moves!K71" display="Strong Jaw" xr:uid="{4A266B28-61B6-41D2-AD6F-69D52FAE128D}"/>
    <hyperlink ref="U220" location="Moves!K72" display="Sheer Force" xr:uid="{25C99C4D-27DD-4FF9-85E8-6D2053869646}"/>
    <hyperlink ref="S234" location="Moves!K22" display="Static" xr:uid="{B7F72CB5-9D06-46C2-9CE5-2E4DBBEADD26}"/>
    <hyperlink ref="T234" location="Moves!K109" display="Natural Cure" xr:uid="{B7C49015-A83B-42F6-8F3A-A64B05A8916E}"/>
    <hyperlink ref="U234" location="Moves!K93" display="Iron Fist" xr:uid="{9C6966A8-E737-4E06-8BE8-20252437DD8E}"/>
    <hyperlink ref="S235" location="Moves!K34" display="Volt Absorb" xr:uid="{8B145B88-9150-4327-B9B7-C8B49A4347B1}"/>
    <hyperlink ref="T235" location="Moves!K109" display="Natural Cure" xr:uid="{BD09C129-BB0D-49DD-AE82-A93C0F8C519B}"/>
    <hyperlink ref="U235" location="Moves!K93" display="Iron Fist" xr:uid="{B31763F6-629D-44BC-8148-D7679F581952}"/>
    <hyperlink ref="S236" location="Moves!K34" display="Volt Absorb" xr:uid="{7648D559-87F7-4854-B9C1-9032E5B91B6E}"/>
    <hyperlink ref="T236" location="Moves!K109" display="Natural Cure" xr:uid="{E04AB17C-2E13-4D8E-A3E4-244F9FAECE8E}"/>
    <hyperlink ref="U236" location="Moves!K93" display="Iron Fist" xr:uid="{10A8DE3C-3289-4264-9B0B-95BD453E5AA2}"/>
    <hyperlink ref="S237" location="Moves!K78" display="Unburden" xr:uid="{9D81933F-A561-4C94-9223-77CFA739C900}"/>
    <hyperlink ref="T237" location="Moves!K154" display="Pickpocket" xr:uid="{BF62298D-0004-4F97-82CC-77FCA4476E90}"/>
    <hyperlink ref="U237" location="Moves!K108" display="Prankster" xr:uid="{A05C005A-BCFF-47FF-BB9B-1DFB92D1E79F}"/>
    <hyperlink ref="S238" location="Moves!K78" display="Unburden" xr:uid="{3A19B42E-E2D7-4942-911A-3B4FA1717145}"/>
    <hyperlink ref="T238" location="Moves!K124" display="Poison Touch" xr:uid="{060734DB-713C-4581-BA26-B66703CE4CED}"/>
    <hyperlink ref="U238" location="Moves!K108" display="Prankster" xr:uid="{30709375-FD8E-44A9-AF6E-AC56F0C7A11A}"/>
    <hyperlink ref="S239" location="Moves!K79" display="Swift Swim" xr:uid="{186F2E1E-2EED-4A3E-BE08-D7EAFB5C919B}"/>
    <hyperlink ref="T239" location="Moves!K62" display="Water Veil" xr:uid="{FA2B0472-D6CE-4F7E-8C80-4DE8BACE0F45}"/>
    <hyperlink ref="U239" location="Moves!K175" display="Propeller Tail" xr:uid="{6351F1BF-0C5A-4E4B-AC2A-570699D22989}"/>
    <hyperlink ref="S240" location="Moves!K79" display="Swift Swim" xr:uid="{EEF3B25C-5EFB-4435-B4D2-4A6385BE4233}"/>
    <hyperlink ref="T240" location="Moves!K62" display="Water Veil" xr:uid="{9E3AD6F7-F8BA-4FD9-9D87-32B98C868069}"/>
    <hyperlink ref="U240" location="Moves!K175" display="Propeller Tail" xr:uid="{F8D883A1-2DF8-4A6F-866C-49F8D8A4519F}"/>
    <hyperlink ref="S241" location="Moves!K26" display="Stench" xr:uid="{CA1851DC-03AA-4EDD-94AE-D607F0977E6B}"/>
    <hyperlink ref="T241" location="Moves!K155" display="Aftermath" xr:uid="{CDE7E17B-5A2D-4682-95B1-ABFB89580DFF}"/>
    <hyperlink ref="U241" location="Moves!K8" display="Keen Eye" xr:uid="{2C9D8CB5-36F1-4CA7-A60B-9AD06031711B}"/>
    <hyperlink ref="S242" location="Moves!K26" display="Stench" xr:uid="{8DF8479E-A3BA-42C8-A8C4-EEA0F9882C12}"/>
    <hyperlink ref="T242" location="Moves!K155" display="Aftermath" xr:uid="{8162FD9A-B6ED-428C-98F9-4CEA1EC54FEF}"/>
    <hyperlink ref="U242" location="Moves!K8" display="Keen Eye" xr:uid="{E780DE9F-71E3-4D0B-84F9-67FAC1DE5ED6}"/>
    <hyperlink ref="S243" location="Moves!K80" display="Wind Power" xr:uid="{83664C1D-B37E-4207-914B-46EA81E3F84D}"/>
    <hyperlink ref="T243" location="Moves!K34" display="Volt Absorb" xr:uid="{591E3330-0A89-49DB-A6FC-C4F0841F3DB7}"/>
    <hyperlink ref="U243" location="Moves!K160" display="Competitive" xr:uid="{EE5C10F8-2E60-4038-9FC1-E4EA997859FB}"/>
    <hyperlink ref="S244" location="Moves!K80" display="Wind Power" xr:uid="{AB35E33D-37C6-4FFE-8CA2-13D0F6C6BB7F}"/>
    <hyperlink ref="T244" location="Moves!K34" display="Volt Absorb" xr:uid="{E511C5B9-FB18-4CEC-AC14-6D12DEE41C1B}"/>
    <hyperlink ref="U244" location="Moves!K160" display="Competitive" xr:uid="{8B33EB3C-7D0C-434D-B053-009ACA6B6090}"/>
    <hyperlink ref="S245" location="Moves!K7" display="Intimidate" xr:uid="{68B62C40-39D0-41C4-BDDE-826C8E2BBF44}"/>
    <hyperlink ref="T245" location="Moves!K156" display="Anger Point" xr:uid="{D7068F47-AFF9-4BF3-BAFF-EFB787C070AE}"/>
    <hyperlink ref="U245" location="Moves!K72" display="Sheer Force" xr:uid="{A92E3733-FC9B-445D-8F23-FCCB19386E25}"/>
    <hyperlink ref="S246" location="Moves!K27" display="Shed Skin" xr:uid="{E4A75600-43E8-43CF-A1A3-DB7EFC76F297}"/>
    <hyperlink ref="U246" location="Moves!K45" display="Regenerator" xr:uid="{C1637E37-6110-4246-8C65-7A455574AAE9}"/>
    <hyperlink ref="S247" location="Moves!K81" display="Wimp Out" xr:uid="{D3FB560E-806B-423A-9978-C15347CE0AF3}"/>
    <hyperlink ref="U247" location="Moves!K115" display="Defeatist" xr:uid="{18966D0B-31B8-4D18-BA86-25C0987DE4BC}"/>
    <hyperlink ref="S248" location="Moves!K82" display="Emergency Exit" xr:uid="{7D16FCFA-0004-4B3F-809F-9D082FF672CD}"/>
    <hyperlink ref="U248" location="Moves!K47" display="Anger Shell" xr:uid="{CE7AA245-CE6C-4A56-AA8F-D9F4317D16BF}"/>
    <hyperlink ref="S249" location="Moves!K22" display="Static" xr:uid="{E44AEEE9-7BE9-490A-8C15-FE1DDA042178}"/>
    <hyperlink ref="U249" location="Moves!K53" display="Lightning Rod" xr:uid="{15697778-F70F-4B3E-A2A8-B8BA77B96F29}"/>
    <hyperlink ref="S250" location="Moves!K22" display="Static" xr:uid="{BF76E3E8-DF74-41DD-9F32-25A208E8FC45}"/>
    <hyperlink ref="U250" location="Moves!K53" display="Lightning Rod" xr:uid="{BFDAE7C9-9196-47B9-BEBA-69E9EB01DDF7}"/>
    <hyperlink ref="S251" location="Moves!K22" display="Static" xr:uid="{022CFBB2-4086-4562-9520-EDF9EB8952A8}"/>
    <hyperlink ref="U251" location="Moves!K53" display="Lightning Rod" xr:uid="{4C8081B8-00D7-48F6-A498-26062E99F496}"/>
    <hyperlink ref="S252" location="Moves!K83" display="Disguise" xr:uid="{982603B1-4896-4EBF-B62C-CAF57337A37D}"/>
    <hyperlink ref="S253" location="Moves!K32" display="Run Away" xr:uid="{D81D2DC0-7C56-401C-84A2-333838CCBDB6}"/>
    <hyperlink ref="T253" location="Moves!K35" display="Flash Fire" xr:uid="{42D55F5A-2966-40F4-8103-18E45537E424}"/>
    <hyperlink ref="U253" location="Moves!K162" display="Flame Body" xr:uid="{905237AE-689B-4850-A09B-CAED7D4F4E1D}"/>
    <hyperlink ref="S254" location="Moves!K32" display="Run Away" xr:uid="{5BD4C201-04F5-447E-8120-08CABF40FA3E}"/>
    <hyperlink ref="T254" location="Moves!K35" display="Flash Fire" xr:uid="{D043684A-533D-4584-B4DA-AD188368D09B}"/>
    <hyperlink ref="U254" location="Moves!K162" display="Flame Body" xr:uid="{E626C68A-932E-4003-B12B-44BB65B653F9}"/>
    <hyperlink ref="S255" location="Moves!K67" display="Skill Link" xr:uid="{EDD8DA68-2378-4999-96EF-EE99A9DFC194}"/>
    <hyperlink ref="T255" location="Moves!K109" display="Natural Cure" xr:uid="{A11FAD01-344F-49A3-A130-37B1E061E2B4}"/>
    <hyperlink ref="U255" location="Moves!K45" display="Regenerator" xr:uid="{6E90B014-8168-4DE3-8C82-8BBF4F0BDDCE}"/>
    <hyperlink ref="S256" location="Moves!K84" display="Weak Armor" xr:uid="{D0B957E0-232A-4222-9BC7-5D1F6919B773}"/>
    <hyperlink ref="U256" location="Moves!K195" display="Perish Body" xr:uid="{3029A83F-4CF4-4A87-B11C-CD1FDB90E694}"/>
    <hyperlink ref="S257" location="Moves!K79" display="Swift Swim" xr:uid="{09047DEA-E35D-44B0-8F56-84EAEC9AABF9}"/>
    <hyperlink ref="T257" location="Moves!K157" display="Storm Drain" xr:uid="{D0CD1455-C684-457C-A0EC-184F1584BF52}"/>
    <hyperlink ref="U257" location="Moves!K107" display="Dazzling" xr:uid="{97081B33-159D-4A5D-B08E-A2D3B1423DA8}"/>
    <hyperlink ref="S258" location="Moves!K79" display="Swift Swim" xr:uid="{257D84C0-6103-4251-BF7C-938F4E54E1B0}"/>
    <hyperlink ref="T258" location="Moves!K157" display="Storm Drain" xr:uid="{4FB94257-7258-4AA0-9A8F-B62CB7CAEA0A}"/>
    <hyperlink ref="U258" location="Moves!K107" display="Dazzling" xr:uid="{253D424E-896F-4DB4-BD26-E535EF94EBE8}"/>
    <hyperlink ref="S259" location="Moves!K62" display="Water Veil" xr:uid="{39D6DCBE-03B7-4758-939C-FC6D6AAD7B38}"/>
    <hyperlink ref="T259" location="Moves!K101" display="Oblivious" xr:uid="{3FF13D0F-C2B8-4ACE-8A50-E7AD6778E3B8}"/>
    <hyperlink ref="U259" location="Moves!K130" display="Liquid Voice" xr:uid="{CA3A22B8-963A-4871-9503-2A8D5D3E83D9}"/>
    <hyperlink ref="S260" location="Moves!K62" display="Water Veil" xr:uid="{09229DE1-8D10-409E-AD41-EAD2AC875BF5}"/>
    <hyperlink ref="T260" location="Moves!K101" display="Oblivious" xr:uid="{D3522E0E-50B6-420B-894B-5443A7DE2D43}"/>
    <hyperlink ref="U260" location="Moves!K130" display="Liquid Voice" xr:uid="{DD9B6E2E-797F-420C-BBFF-0D87A460C24D}"/>
    <hyperlink ref="S261" location="Moves!K85" display="Clear Body" xr:uid="{E726BEB8-1656-4D24-A70E-7D1FC648A111}"/>
    <hyperlink ref="T261" location="Moves!K158" display="Liquid Ooze" xr:uid="{8E54832C-4B8F-45C5-91E4-56AB40ED77F7}"/>
    <hyperlink ref="U261" location="Moves!K190" display="Rain Dish" xr:uid="{1FB122D1-C17B-4591-B1EE-1C52816FD594}"/>
    <hyperlink ref="S262" location="Moves!K85" display="Clear Body" xr:uid="{ECE009EF-9E52-4DA1-A849-5F08AE2DFD7C}"/>
    <hyperlink ref="T262" location="Moves!K158" display="Liquid Ooze" xr:uid="{E6BF3F7A-67F2-4BBE-AF19-BFF485BC2D55}"/>
    <hyperlink ref="U262" location="Moves!K190" display="Rain Dish" xr:uid="{4F420601-9BFE-418F-A37B-AF50B1EF4D14}"/>
    <hyperlink ref="S263" location="Moves!K86" display="Mega Launcher" xr:uid="{9F65E2CD-6692-49B9-9FBD-395973DA5C8E}"/>
    <hyperlink ref="S264" location="Moves!K85" display="Mega Launcher" xr:uid="{41677697-B748-41A0-82F8-5AA451F648F1}"/>
    <hyperlink ref="S265" location="Moves!K13" display="Swarm" xr:uid="{C17326F1-E5CF-4340-B802-88034B21E61B}"/>
    <hyperlink ref="T265" location="Moves!K49" display="Technician" xr:uid="{6C187C65-8A21-422D-906B-19A3E4098B59}"/>
    <hyperlink ref="U265" location="Moves!K31" display="Steadfast" xr:uid="{F02316A9-4DEC-4794-8CE2-D2D9064C3710}"/>
    <hyperlink ref="S266" location="Moves!K13" display="Swarm" xr:uid="{A8A93E34-9D20-4DFB-9BDB-3F28EF2B779F}"/>
    <hyperlink ref="T266" location="Moves!K49" display="Technician" xr:uid="{0429A526-A1E7-4CBB-B164-0FC96325DB9F}"/>
    <hyperlink ref="U266" location="Moves!K196" display="Light Metal" xr:uid="{1376D7AB-644A-4A12-8D3A-3BED49C2DA35}"/>
    <hyperlink ref="S267" location="Moves!K13" display="Swarm" xr:uid="{823BED45-540B-4AAE-AE47-ADC06FB246D3}"/>
    <hyperlink ref="T267" location="Moves!K49" display="Technician" xr:uid="{657ACB29-1337-437C-B9D1-745958F06D06}"/>
    <hyperlink ref="U267" location="Moves!K68" display="Sharpness" xr:uid="{A621B76A-4F74-4740-9EC1-385AAA20D09D}"/>
    <hyperlink ref="S268" location="Moves!K87" display="Fluffy" xr:uid="{B2D87E83-C524-48B8-82AF-915C5C991727}"/>
    <hyperlink ref="T268" location="Moves!K106" display="Reckless" xr:uid="{8D265B86-26D2-4234-95BF-7B4A703A4576}"/>
    <hyperlink ref="U268" location="Moves!K38" display="Cute Charm" xr:uid="{02C4ED1A-BD6E-4BAC-9C0C-CEE93376CFD3}"/>
    <hyperlink ref="S269" location="Moves!K87" display="Fluffy" xr:uid="{E8568C0D-4147-426B-8200-0D6F683A09D3}"/>
    <hyperlink ref="T269" location="Moves!K106" display="Reckless" xr:uid="{0C43E36F-64C5-45F7-9A4C-19309A992386}"/>
    <hyperlink ref="U269" location="Moves!K66" display="Unnerve" xr:uid="{ED75183A-9DCC-4049-99F0-8E2A11FFC602}"/>
    <hyperlink ref="S273" location="Moves!K88" display="Spiked Shell" xr:uid="{DB6779EB-3E82-4EB1-91EE-105C1396EFEF}"/>
    <hyperlink ref="T273" location="Moves!K53" display="Lightning Rod" xr:uid="{BE72ED7F-D960-493A-94B1-06F817FE6C42}"/>
    <hyperlink ref="U273" location="Moves!K18" display="Sturdy" xr:uid="{A6161A3A-E7FD-4428-AEB1-7A3B7AD4486C}"/>
    <hyperlink ref="S274" location="Moves!K44" display="Hyper Cutter" xr:uid="{38AE9F98-DB76-421C-A8BB-00D68C73F467}"/>
    <hyperlink ref="T274" location="Moves!K93" display="Iron Fist" xr:uid="{7690AF2B-DA3E-4862-9F23-EAA2C0129C42}"/>
    <hyperlink ref="U274" location="Moves!K156" display="Anger Point" xr:uid="{E240F545-84E3-480A-BB26-58887BDDACC8}"/>
    <hyperlink ref="S275" location="Moves!K44" display="Hyper Cutter" xr:uid="{B62A30CD-894F-4EE4-8D9D-ED5CBB6D9134}"/>
    <hyperlink ref="T275" location="Moves!K93" display="Iron Fist" xr:uid="{C1E85645-646B-422F-B797-6CCB8CF33F74}"/>
    <hyperlink ref="U275" location="Moves!K156" display="Anger Point" xr:uid="{B2C50FE6-31B4-4A72-9BE7-D9B1AAD9BE84}"/>
    <hyperlink ref="S276" location="Moves!K89" display="Suction Cups" xr:uid="{EDD13B0C-C01A-4095-A599-A1B93BF171D3}"/>
    <hyperlink ref="U276" location="Moves!K157" display="Storm Drain" xr:uid="{F5C010F7-2F16-4FF4-AEEF-CB37F3D861A4}"/>
    <hyperlink ref="S277" location="Moves!K89" display="Suction Cups" xr:uid="{7FB2E325-12A1-420A-8B7A-A6B3DBB3F83A}"/>
    <hyperlink ref="U277" location="Moves!K157" display="Storm Drain" xr:uid="{A34DB95A-7E00-487E-A367-976EDD59C27C}"/>
    <hyperlink ref="S278" location="Moves!K69" display="Battle Armor" xr:uid="{CA723058-07B9-42E5-9226-29AD70932B4C}"/>
    <hyperlink ref="U278" location="Moves!K132" display="Water Bubble" xr:uid="{7AE5F1CC-2649-4CFB-99E6-BE92F698B882}"/>
    <hyperlink ref="S279" location="Moves!K69" display="Battle Armor" xr:uid="{87909729-25FD-4DAA-92B5-46074C909671}"/>
    <hyperlink ref="U279" location="Moves!K132" display="Water Bubble" xr:uid="{D80DF8C1-B7B9-413C-9E78-D341734FA3F6}"/>
    <hyperlink ref="S280" location="Moves!K90" display="Cheek Pouch" xr:uid="{8F301FA5-804F-481E-9AF2-CD4BABA4A42F}"/>
    <hyperlink ref="T280" location="Moves!K159" display="Pixilate" xr:uid="{C36737CD-E242-4848-A556-2C1E936EB50F}"/>
    <hyperlink ref="U280" location="Moves!K197" display="Transistor" xr:uid="{0CDFB0E4-465A-446C-A832-32EE3823DACD}"/>
    <hyperlink ref="S281" location="Moves!K8" display="Keen Eye" xr:uid="{6A09DA6D-8C45-4A0B-97A3-9F22099EB4FE}"/>
    <hyperlink ref="T281" location="Moves!K135" display="Big Pecks" xr:uid="{12236F47-AD5D-4314-8873-5BA412167740}"/>
    <hyperlink ref="U281" location="Moves!K198" display="Vocalist (Punk Rock)" xr:uid="{827FAB5C-D0E7-41AF-8B74-FBD3DDB4FAFC}"/>
    <hyperlink ref="S282" location="Moves!K91" display="Telepathy" xr:uid="{E841B653-3C6C-47E9-8F0B-14C6C1292CC3}"/>
    <hyperlink ref="U282" location="Moves!K199" display="Pure Power" xr:uid="{9380D692-7488-408A-A6D1-9CFE574D6C0F}"/>
    <hyperlink ref="S283" location="Moves!K91" display="Telepathy" xr:uid="{3A4DA78A-AB87-405D-9A1C-13C698F66FD7}"/>
    <hyperlink ref="U283" location="Moves!K199" display="Pure Power" xr:uid="{0F9676BF-6FC7-4870-8DA9-5BE019521F81}"/>
    <hyperlink ref="S284" location="Moves!K40" display="Insomnia" xr:uid="{39CE71AF-8205-48F1-BB34-300192D24276}"/>
    <hyperlink ref="T284" location="Moves!K103" display="Forewarn" xr:uid="{185623FE-3E7C-41FA-8583-D8BB434CEB2B}"/>
    <hyperlink ref="U284" location="Moves!K200" display="Poison Puppeteer" xr:uid="{E65FC73F-97CC-4D06-BDAC-2723C1849EF9}"/>
    <hyperlink ref="S285" location="Moves!K40" display="Insomnia" xr:uid="{29D8A798-A7B7-499E-A9DD-CAE2D2256BA7}"/>
    <hyperlink ref="T285" location="Moves!K103" display="Forewarn" xr:uid="{F7B6E73B-50F2-4B83-936B-7265D79337DF}"/>
    <hyperlink ref="U285" location="Moves!K200" display="Poison Puppeteer" xr:uid="{58F6A9A3-3491-42F0-A2D3-BB777065A59D}"/>
    <hyperlink ref="S286" location="Moves!K7" display="Intimidate" xr:uid="{4933C0EA-9187-4B1F-B0D9-12F6198B3629}"/>
    <hyperlink ref="T286" location="Moves!K27" display="Shed Skin" xr:uid="{1064E899-7150-416E-BA4B-9DD48FBCE731}"/>
    <hyperlink ref="U286" location="Moves!K71" display="Strong Jaw" xr:uid="{812D4679-58B0-407F-8674-AA1066DD77F1}"/>
    <hyperlink ref="S287" location="Moves!K7" display="Intimidate" xr:uid="{A30260B2-EDFD-4893-96F6-DDAEF5548624}"/>
    <hyperlink ref="T287" location="Moves!K27" display="Shed Skin" xr:uid="{41634F6A-1826-4D85-96F3-06E3631AEAEF}"/>
    <hyperlink ref="U287" location="Moves!K71" display="Strong Jaw" xr:uid="{5464E3BF-6754-4462-9488-B56DA8374DB8}"/>
    <hyperlink ref="S288" location="Moves!K106" display="Reckless" xr:uid="{3517F3F0-23CA-4805-B5E4-EAB00C64B476}"/>
    <hyperlink ref="T288" location="Moves!K141" display="Adaptability" xr:uid="{8966295C-EC7B-468E-9881-0B8C37B43454}"/>
    <hyperlink ref="U288" location="Moves!K99" display="Mold Breaker" xr:uid="{13BC20E3-A42E-4EC0-BCA8-5552A2A02C2D}"/>
    <hyperlink ref="S289" location="Moves!K79" display="Swift Swim" xr:uid="{8F14904E-E535-410D-9F65-41CAD152DCC4}"/>
    <hyperlink ref="T289" location="Moves!K141" display="Adaptability" xr:uid="{88AA902D-A3FC-459F-9251-B9ADEF121579}"/>
    <hyperlink ref="U289" location="Moves!K99" display="Mold Breaker" xr:uid="{57BDFB5F-0CA0-4D7D-9A12-E9422F85A82C}"/>
    <hyperlink ref="S290" location="Moves!K93" display="Iron Fist" xr:uid="{6C6DD132-9601-4DD2-BB12-D0CA03C6735E}"/>
    <hyperlink ref="T290" location="Moves!K99" display="Mold Breaker" xr:uid="{468DDE3E-95E7-45CF-AD87-A22040A25787}"/>
    <hyperlink ref="U290" location="Moves!K168" display="Scrappy" xr:uid="{FF9690DE-5C7A-415F-91A1-5E8E94CABADB}"/>
    <hyperlink ref="S291" location="Moves!K93" display="Iron Fist" xr:uid="{33EB18F4-ABAB-43C5-879F-09193311C192}"/>
    <hyperlink ref="T291" location="Moves!K99" display="Mold Breaker" xr:uid="{9512F8C8-F604-4212-A8CB-053834D6EE8F}"/>
    <hyperlink ref="U291" location="Moves!K168" display="Scrappy" xr:uid="{A189C888-6D56-4260-A51E-F8AE4F9F99AC}"/>
    <hyperlink ref="S292" location="Moves!K51" display="Poison Point" xr:uid="{34D3F12B-D24B-4087-BAA6-89BF80F718EE}"/>
    <hyperlink ref="T292" location="Moves!K124" display="Poison Touch" xr:uid="{A925F648-D904-4AF3-BD69-59612134F965}"/>
    <hyperlink ref="U292" location="Moves!K141" display="Adaptability" xr:uid="{EAAB629A-07F2-4C12-96C2-513F9FA6F1A1}"/>
    <hyperlink ref="S293" location="Moves!K51" display="Poison Point" xr:uid="{9048A0ED-3160-4D29-BF65-DA9CF566333E}"/>
    <hyperlink ref="T293" location="Moves!K124" display="Poison Touch" xr:uid="{D1DDC817-D3C6-4065-9B55-D9D3854109B6}"/>
    <hyperlink ref="U293" location="Moves!K141" display="Adaptability" xr:uid="{34E26AD4-CEC0-4479-89B4-B7AC9B8A6587}"/>
    <hyperlink ref="S294" location="Moves!K94" display="Frisk" xr:uid="{785B88C0-8ADF-460E-9FC4-8960D86875F2}"/>
    <hyperlink ref="T294" location="Moves!K160" display="Competitive" xr:uid="{A5AFE891-E387-49A4-8B6A-5244D8DBAC7A}"/>
    <hyperlink ref="U294" location="Moves!K201" display="Shadow Tag" xr:uid="{6BBDB222-FB6C-4FFC-B9C1-24FA0097301F}"/>
    <hyperlink ref="S295" location="Moves!K94" display="Frisk" xr:uid="{D23BC76C-1ECD-48DA-827F-0C5EF03714A5}"/>
    <hyperlink ref="T295" location="Moves!K160" display="Competitive" xr:uid="{F9A177DC-B04F-44B4-974F-441B5B4B23B8}"/>
    <hyperlink ref="U295" location="Moves!K201" display="Shadow Tag" xr:uid="{B058664B-5445-406F-8157-5019C25D03FB}"/>
    <hyperlink ref="S296" location="Moves!K94" display="Frisk" xr:uid="{49C46A01-2C60-4AA7-B92D-4F94EEFE58EA}"/>
    <hyperlink ref="T296" location="Moves!K160" display="Competitive" xr:uid="{D705049E-3E49-4C10-961A-29B76923BAA4}"/>
    <hyperlink ref="U296" location="Moves!K201" display="Shadow Tag" xr:uid="{253D65DF-6EAC-496F-8835-A04D0D5D3077}"/>
    <hyperlink ref="S297" location="Moves!K95" display="Overcoat" xr:uid="{61697E2A-7E51-4F74-8AC9-A47C19A31694}"/>
    <hyperlink ref="T297" location="Moves!K161" display="Magic Guard" xr:uid="{58F7DC92-8E70-42D8-8B1E-23CE611C7C65}"/>
    <hyperlink ref="U297" location="Moves!K45" display="Regenerator" xr:uid="{965972F4-0342-49F8-A612-0FFA1B5DF536}"/>
    <hyperlink ref="S298" location="Moves!K95" display="Overcoat" xr:uid="{4FA95C94-4B24-4BBA-BC35-0233A78F6AD8}"/>
    <hyperlink ref="T298" location="Moves!K161" display="Magic Guard" xr:uid="{1E0E3501-D5F0-4A9A-ACF1-F58233CD78A1}"/>
    <hyperlink ref="U298" location="Moves!K45" display="Regenerator" xr:uid="{99B1B818-7B81-4265-9A82-D62A94FB18EC}"/>
    <hyperlink ref="S299" location="Moves!K95" display="Overcoat" xr:uid="{FF12E86A-0ADA-49D4-B47F-49BF15885DB7}"/>
    <hyperlink ref="T299" location="Moves!K161" display="Magic Guard" xr:uid="{3D29B723-405A-4AB4-92C7-BFC94700119F}"/>
    <hyperlink ref="U299" location="Moves!K45" display="Regenerator" xr:uid="{EC8B4FE4-8A6F-44B7-AFEA-28B6D43604E2}"/>
    <hyperlink ref="S300" location="Moves!K35" display="Flash Fire" xr:uid="{28C0827C-282E-4EA7-A74C-255E1EDBE2A2}"/>
    <hyperlink ref="T300" location="Moves!K162" display="Flame Body" xr:uid="{C953D410-5CF8-419E-B770-40B8C602C51B}"/>
    <hyperlink ref="U300" location="Moves!K177" display="Infiltrator" xr:uid="{D8F374D3-3406-4DEE-B649-858D801B6AEA}"/>
    <hyperlink ref="S301" location="Moves!K35" display="Flash Fire" xr:uid="{4354A68C-42C7-4049-AF94-6DE0092C7342}"/>
    <hyperlink ref="T301" location="Moves!K162" display="Flame Body" xr:uid="{1923D675-9F23-48FF-8F07-CA62F770EABA}"/>
    <hyperlink ref="U301" location="Moves!K177" display="Infiltrator" xr:uid="{661ADE04-9B15-4C0A-94A0-AC7632D13939}"/>
    <hyperlink ref="S302" location="Moves!K35" display="Flash Fire" xr:uid="{3D41E764-1F32-4422-9488-2C3C3C240C3E}"/>
    <hyperlink ref="T302" location="Moves!K162" display="Flame Body" xr:uid="{60AF9814-5A32-49B6-BBF8-F96E8954E210}"/>
    <hyperlink ref="U302" location="Moves!K177" display="Infiltrator" xr:uid="{D25A5630-F9BF-40C2-B645-4F50EA80683D}"/>
    <hyperlink ref="S303" location="Moves!K35" display="Flash Fire" xr:uid="{54050C40-63AF-46AC-9356-B8CE96247C7A}"/>
    <hyperlink ref="T303" location="Moves!K162" display="Flame Body" xr:uid="{F51B5C5B-DEF0-47DC-9D74-1EE4F1A84FE0}"/>
    <hyperlink ref="U303" location="Moves!K84" display="Weak Armor" xr:uid="{459101FE-0483-4357-96EC-3909A96FB274}"/>
    <hyperlink ref="S304" location="Moves!K35" display="Flash Fire" xr:uid="{24708E1D-D095-4815-9D70-8C0914841B36}"/>
    <hyperlink ref="U304" location="Moves!K84" display="Weak Armor" xr:uid="{9489A4FA-AD7F-4D50-AFBF-C71897815CDC}"/>
    <hyperlink ref="S305" location="Moves!K35" display="Flash Fire" xr:uid="{7AED50C9-2BA4-45EB-A12D-8106CD9A0F1F}"/>
    <hyperlink ref="U305" location="Moves!K84" display="Weak Armor" xr:uid="{E4D6D314-B69F-4A32-A2C5-535895D76570}"/>
    <hyperlink ref="S306" location="Moves!K34" display="Volt Absorb" xr:uid="{C0856D82-4098-418F-AE29-355A32BC1EBD}"/>
    <hyperlink ref="T306" location="Moves!K137" display="Illuminate" xr:uid="{DB9FF5A1-4B98-415E-8AF7-1FC723A54478}"/>
    <hyperlink ref="U306" location="Moves!K33" display="Water Absorb" xr:uid="{1ABE586E-F5CD-40A8-A9C3-5B72C5DBA8FF}"/>
    <hyperlink ref="S307" location="Moves!K34" display="Volt Absorb" xr:uid="{A4B4F263-1A0D-4CD7-9BC9-B3E5586CA09A}"/>
    <hyperlink ref="T307" location="Moves!K137" display="Illuminate" xr:uid="{17DAFAB6-9F3E-4825-958E-A166D73EF63E}"/>
    <hyperlink ref="U307" location="Moves!K33" display="Water Absorb" xr:uid="{04C8ECA4-D3AB-4BD4-8EB6-8A1DA944D5DD}"/>
    <hyperlink ref="S308" location="Moves!K96" display="Shell Armor" xr:uid="{19CF4EA2-87E5-47E6-AC94-C9B6B27BE547}"/>
    <hyperlink ref="T308" location="Moves!K67" display="Skill Link" xr:uid="{5C5D0A2B-D4DE-4684-8CEC-BC3FCBBA4043}"/>
    <hyperlink ref="U308" location="Moves!K95" display="Overcoat" xr:uid="{A627F669-0D18-406D-B857-5CD810156459}"/>
    <hyperlink ref="S309" location="Moves!K96" display="Shell Armor" xr:uid="{78EE03D0-C73B-49F8-9869-55F501101FF6}"/>
    <hyperlink ref="T309" location="Moves!K67" display="Skill Link" xr:uid="{6033F206-B1CC-4238-BDC9-99C9E996F078}"/>
    <hyperlink ref="U309" location="Moves!K95" display="Overcoat" xr:uid="{1B21A69B-DFE2-479C-9012-DEA802BA8449}"/>
    <hyperlink ref="S310" location="Moves!K96" display="Shell Armor" xr:uid="{477C945E-D276-4FE2-B8CD-AEE21FFFCFA8}"/>
    <hyperlink ref="U310" location="Moves!K92" display="Rattled" xr:uid="{CF23E37E-4FEA-425F-9495-30E4CDE93730}"/>
    <hyperlink ref="S311" location="Moves!K7" display="Intimidate" xr:uid="{DF39E312-5F9A-4DBF-9A6A-776606CDF839}"/>
    <hyperlink ref="U311" location="Moves!K62" display="Water Veil" xr:uid="{7E390ABF-4CFD-4FA5-A206-7FC04B6DD258}"/>
    <hyperlink ref="S312" location="Moves!K45" display="Regenerator" xr:uid="{CA6A623D-B331-47E3-9ACE-2AD802B989F1}"/>
    <hyperlink ref="U312" location="Moves!K149" display="Hydration" xr:uid="{25CCCD68-8CD1-4F09-B905-1F8791C1A1F9}"/>
    <hyperlink ref="S313" location="Moves!K97" display="Flower Veil" xr:uid="{3C3ECDDB-9E32-4377-8EC4-13881328E14A}"/>
    <hyperlink ref="U313" location="Moves!K202" display="Symbiosis" xr:uid="{1A0BA926-EA59-4825-B72E-2B729338F665}"/>
    <hyperlink ref="S314" location="Moves!K97" display="Flower Veil" xr:uid="{062ABDD2-8078-4FB8-AC12-7347C807D2CF}"/>
    <hyperlink ref="U314" location="Moves!K202" display="Symbiosis" xr:uid="{6EDD2DEE-CDE6-4B02-B731-04D2593FB4A9}"/>
    <hyperlink ref="S315" location="Moves!K97" display="Flower Veil" xr:uid="{75F99ECA-1E1D-41B9-B876-DBB1431C0BC7}"/>
    <hyperlink ref="U315" location="Moves!K202" display="Symbiosis" xr:uid="{28CB30EE-B2DB-40A8-B2B8-4C40D532D80F}"/>
    <hyperlink ref="S316" location="Moves!K38" display="Cute Charm" xr:uid="{30D6B125-A580-4DD9-B7D5-EB0CAF522101}"/>
    <hyperlink ref="T316" location="Moves!K160" display="Competitive" xr:uid="{D21EE981-6EE5-4612-9D6C-3D0ABE19489B}"/>
    <hyperlink ref="U316" location="Moves!K184" display="Huge Power" xr:uid="{AC5842D9-8019-482D-B892-76190138516E}"/>
    <hyperlink ref="S317" location="Moves!K38" display="Cute Charm" xr:uid="{081DEE62-F23D-42F1-8AC1-F429AD0152EC}"/>
    <hyperlink ref="T317" location="Moves!K160" display="Competitive" xr:uid="{364EEE53-C18E-49E2-AFE8-4200719FEDA2}"/>
    <hyperlink ref="U317" location="Moves!K184" display="Huge Power" xr:uid="{09666059-637C-48F7-B38A-3D60C762AEA8}"/>
    <hyperlink ref="S318" location="Moves!K38" display="Cute Charm" xr:uid="{31CCE77C-8633-43FF-A668-5A08E31D4F54}"/>
    <hyperlink ref="T318" location="Moves!K160" display="Competitive" xr:uid="{5E55144F-35F4-4346-ACF1-11AD45990E56}"/>
    <hyperlink ref="U318" location="Moves!K184" display="Huge Power" xr:uid="{6B236F76-1726-4930-B9BF-16E0878F44CD}"/>
    <hyperlink ref="S319" location="Moves!K98" display="Dry Skin" xr:uid="{3DD3F61E-3B4B-4FB3-AD72-F5E3AF8FA41D}"/>
    <hyperlink ref="T319" location="Moves!K43" display="Sand Veil" xr:uid="{76651A9F-5FE3-4B49-AD95-9142B15F343C}"/>
    <hyperlink ref="U319" location="Moves!K139" display="Solar Power" xr:uid="{EDDE74B8-AB92-4D88-9FE0-23675A982789}"/>
    <hyperlink ref="S320" location="Moves!K98" display="Dry Skin" xr:uid="{CAA728B1-3795-4DD7-9871-94F657CCBD1C}"/>
    <hyperlink ref="T320" location="Moves!K43" display="Sand Veil" xr:uid="{AE6FE62D-53BA-4805-954A-DE68F84C0FE8}"/>
    <hyperlink ref="U320" location="Moves!K139" display="Solar Power" xr:uid="{8EF93A18-1B15-43A8-8534-2D53BE011D97}"/>
    <hyperlink ref="S321" location="Moves!K69" display="Battle Armor" xr:uid="{6D3B1311-0FF7-4ACA-AAD8-4DFFEE0C4986}"/>
    <hyperlink ref="U321" location="Moves!K121" display="Defiant" xr:uid="{992DF00D-8096-468F-9706-9E6C1BA98CD3}"/>
    <hyperlink ref="S322" location="Moves!K44" display="Hyper Cutter" xr:uid="{A7F44C61-8B8F-4546-BCC3-48BB363900C5}"/>
    <hyperlink ref="T322" location="Moves!K163" display="Arena Trap" xr:uid="{ACE3AB18-CBA3-4848-8104-64C2DB60A6E7}"/>
    <hyperlink ref="U322" location="Moves!K72" display="Sheer Force" xr:uid="{5A1B3198-E74E-4D89-9972-73D1918AD1BE}"/>
    <hyperlink ref="S323" location="Moves!K15" display="Levitate" xr:uid="{37F5BD99-3E38-46FA-AEAB-745AC7CC8940}"/>
    <hyperlink ref="U323" location="Moves!K72" display="Sheer Force" xr:uid="{AC55AAE7-6441-4029-AC74-A957F3B400B0}"/>
    <hyperlink ref="S324" location="Moves!K15" display="Levitate" xr:uid="{5D185E6F-E9C5-498A-9F94-2EADBEC5D457}"/>
    <hyperlink ref="U324" location="Moves!K72" display="Sheer Force" xr:uid="{80D632E9-BCE3-4B6B-A03F-4B064C09EE16}"/>
    <hyperlink ref="S325" location="Moves!K32" display="Run Away" xr:uid="{E4E7DA56-5CE3-4DBD-8481-7099880F5E2A}"/>
    <hyperlink ref="T325" location="Moves!K133" display="Strong Legs" xr:uid="{C8D97D68-8002-4E69-82B0-39467E981533}"/>
    <hyperlink ref="U325" location="Moves!K7" display="Intimidate" xr:uid="{D801ED78-116B-46B4-A561-9F09C791F1BD}"/>
    <hyperlink ref="S326" location="Moves!K32" display="Run Away" xr:uid="{FABB188F-852D-4CE4-88E9-C3C7F0B20F41}"/>
    <hyperlink ref="T326" location="Moves!K133" display="Strong Legs" xr:uid="{B01FA44C-52C9-45B1-B681-A9FCDE342848}"/>
    <hyperlink ref="U326" location="Moves!K7" display="Intimidate" xr:uid="{AC99DA53-89D1-4F4F-BE76-F1261AB4878D}"/>
    <hyperlink ref="S327" location="Moves!K99" display="Mold Breaker" xr:uid="{FB177A13-36A8-41B3-94FC-315816B10689}"/>
    <hyperlink ref="T327" location="Moves!K28" display="Unaware" xr:uid="{F9C48896-E80C-4E2F-B8A6-EF88D7E0C387}"/>
    <hyperlink ref="U327" location="Moves!K72" display="Sheer Force" xr:uid="{A17A8BCE-C263-4CF6-92A7-1C4DEB067999}"/>
    <hyperlink ref="S328" location="Moves!K99" display="Mold Breaker" xr:uid="{CC4C3901-62FE-41DA-9CD5-54621637BFEF}"/>
    <hyperlink ref="T328" location="Moves!K28" display="Unaware" xr:uid="{CC0A305F-872C-4212-888F-9E3198ED3A7E}"/>
    <hyperlink ref="U328" location="Moves!K72" display="Sheer Force" xr:uid="{BBDE6FDA-B989-4A99-BDCB-239B30942681}"/>
    <hyperlink ref="S329" location="Moves!K99" display="Mold Breaker" xr:uid="{54B55822-8AEB-42C4-8DCF-080150DE0167}"/>
    <hyperlink ref="T329" location="Moves!K28" display="Unaware" xr:uid="{EE296D11-9908-43EC-86DC-1FD13F9409CE}"/>
    <hyperlink ref="U329" location="Moves!K72" display="Sheer Force" xr:uid="{C12ACDD7-F266-47A5-B498-A777ED6C46A7}"/>
    <hyperlink ref="S330" location="Moves!K27" display="Shed Skin" xr:uid="{D16C2540-3CF4-4C32-A717-65CEDD277CA6}"/>
    <hyperlink ref="T330" location="Moves!K41" display="Moxie" xr:uid="{77924D41-C969-42F9-9FEA-6DFA847E98DB}"/>
    <hyperlink ref="U330" location="Moves!K7" display="Intimidate" xr:uid="{D967F681-6478-417C-9E1B-4CA1F66C40AF}"/>
    <hyperlink ref="S331" location="Moves!K20" display="Rock Head" xr:uid="{8B116992-5CC5-4A11-88C1-20A0E2BE5A33}"/>
    <hyperlink ref="T331" location="Moves!K41" display="Moxie" xr:uid="{36D6B023-987F-44C4-90E3-FB2506C1E4D0}"/>
    <hyperlink ref="U331" location="Moves!K7" display="Intimidate" xr:uid="{E1463D23-27AB-4C21-9CC2-8C2457B42EA1}"/>
    <hyperlink ref="S332" location="Moves!K44" display="Hyper Cutter" xr:uid="{31ADBC4F-8C7C-437E-BB02-B3D55EF1F220}"/>
    <hyperlink ref="T332" location="Moves!K43" display="Sand Veil" xr:uid="{5740F7F5-0A62-431D-849D-AC6AFD382A39}"/>
    <hyperlink ref="U332" location="Moves!K203" display="Immunity" xr:uid="{21DA4DF0-8B22-4378-9F4D-E46459CE4A27}"/>
    <hyperlink ref="S333" location="Moves!K44" display="Hyper Cutter" xr:uid="{05676354-44DF-47AC-B782-437A62E69C51}"/>
    <hyperlink ref="T333" location="Moves!K43" display="Sand Veil" xr:uid="{E48C2569-11E2-4A7F-ACD3-5D84A5F1363D}"/>
    <hyperlink ref="U333" location="Moves!K145" display="Poison Heal" xr:uid="{6E43D6BE-F744-4BB0-B25E-D7B66401BDE9}"/>
    <hyperlink ref="S334" location="Moves!K100" display="White Smoke" xr:uid="{26EF9ED9-F0C0-4360-A1FC-B9F8B6D3FFCB}"/>
    <hyperlink ref="T334" location="Moves!K164" display="Drought" xr:uid="{F4FF10BD-46E1-4CA9-8843-71EBAC663C1D}"/>
    <hyperlink ref="U334" location="Moves!K96" display="Shell Armor" xr:uid="{A8452003-8E3B-45F5-8095-83DFF7B7CA4A}"/>
    <hyperlink ref="S335" location="Moves!K101" display="Oblivious" xr:uid="{729EFF70-4E7D-4E39-8F99-D27337054733}"/>
    <hyperlink ref="T335" location="Moves!K165" display="Simple" xr:uid="{2B4FD142-7EA8-4B19-8A11-235AD53515AD}"/>
    <hyperlink ref="U335" location="Moves!K21" display="Own Tempo" xr:uid="{D4AD27F4-94D8-48F6-A528-46134CA5EC80}"/>
    <hyperlink ref="S336" location="Moves!K102" display="Magma Armor" xr:uid="{497330DE-7F45-47BD-B10E-5AE57AEACBE3}"/>
    <hyperlink ref="T336" location="Moves!K114" display="Solid Rock" xr:uid="{CF86A0A9-D686-4B31-8FB2-E081138FF084}"/>
    <hyperlink ref="U336" location="Moves!K156" display="Anger Point" xr:uid="{60FD0E55-4D3D-4119-80C4-DFA62802D391}"/>
    <hyperlink ref="S337" location="Moves!K79" display="Swift Swim" xr:uid="{784002EC-2749-4926-9CEA-997AB6233D3C}"/>
    <hyperlink ref="T337" location="Moves!K20" display="Rock Head" xr:uid="{53A7AA00-55BA-4DC0-AC4C-DDB62CE3EB8B}"/>
    <hyperlink ref="U337" location="Moves!K204" display="Ancient Memory" xr:uid="{857A8BB6-1475-4E41-8B1D-49BB295C3FAE}"/>
    <hyperlink ref="S338" location="Moves!K101" display="Oblivious" xr:uid="{C4F2B51C-2D9E-4C10-891A-8D5CCA60EAA5}"/>
    <hyperlink ref="T338" location="Moves!K56" display="Anticipation" xr:uid="{45E4208F-D361-4D48-A8A4-C9E5E3DDBDC4}"/>
    <hyperlink ref="U338" location="Moves!K149" display="Hydration" xr:uid="{E766428C-6809-43EB-AD3D-F1E074497845}"/>
    <hyperlink ref="S339" location="Moves!K101" display="Oblivious" xr:uid="{5138D2D7-79AA-4632-ADC5-1E730F5EC768}"/>
    <hyperlink ref="T339" location="Moves!K56" display="Anticipation" xr:uid="{FD21417D-1514-41ED-8E7F-B945AF029881}"/>
    <hyperlink ref="U339" location="Moves!K149" display="Hydration" xr:uid="{C51C2B16-857C-4997-9007-BFF4A6C0DF79}"/>
    <hyperlink ref="S340" location="Moves!K103" display="Forewarn" xr:uid="{CDEE34C7-C021-4FDC-8C8F-845B31E5DB38}"/>
    <hyperlink ref="T340" location="Moves!K30" display="Synchronize" xr:uid="{CF0E6044-EB0C-4FC2-86E2-5B1F5876B09A}"/>
    <hyperlink ref="U340" location="Moves!K91" display="Telepathy" xr:uid="{AF02DD44-C19B-4762-AFC2-5DE46F91BD78}"/>
    <hyperlink ref="S341" location="Moves!K103" display="Forewarn" xr:uid="{7910AD32-9E5C-4B43-8F5F-305AD1EB9D1A}"/>
    <hyperlink ref="T341" location="Moves!K30" display="Synchronize" xr:uid="{93328194-1CB7-4069-9C3D-7AC531F1C048}"/>
    <hyperlink ref="U341" location="Moves!K91" display="Telepathy" xr:uid="{D93CF0EF-7361-4F11-A3A2-D809C01C0C28}"/>
    <hyperlink ref="S342" location="Moves!K104" display="Color Change" xr:uid="{3901D30A-4623-477F-A14D-947C50382834}"/>
    <hyperlink ref="T342" location="Moves!K166" display="Protean" xr:uid="{C2F87BC5-1F0B-4A97-AF55-1F8E13DFA333}"/>
    <hyperlink ref="U342" location="Moves!K192" display="Prism Armor" xr:uid="{3439BD41-C1C1-480C-AD40-29A3C61E267E}"/>
    <hyperlink ref="S343" location="Moves!K79" display="Swift Swim" xr:uid="{91564D89-D1DD-4AB4-80A9-5089D5A0BCC3}"/>
    <hyperlink ref="U343" location="Moves!K92" display="Rattled" xr:uid="{D77F4665-A6F4-4512-9046-694AE851EB99}"/>
    <hyperlink ref="S344" location="Moves!K7" display="Intimidate" xr:uid="{101AB4D1-0F57-4916-BE03-5187838111DF}"/>
    <hyperlink ref="U344" location="Moves!K41" display="Moxie" xr:uid="{0F42380B-0BA5-445E-B712-050670690C6E}"/>
    <hyperlink ref="S345" location="Moves!K36" display="Leaf Guard" xr:uid="{65B43860-B0FB-4655-8893-CE40797460CF}"/>
    <hyperlink ref="T345" location="Moves!K167" display="Contrary" xr:uid="{A3B460A1-77F4-4811-8310-BCF62B78AC90}"/>
    <hyperlink ref="U345" location="Moves!K68" display="Sharpness" xr:uid="{A09BA7A5-7697-40D2-A2D0-E5F9A72854BC}"/>
    <hyperlink ref="S346" location="Moves!K36" display="Leaf Guard" xr:uid="{13A4258F-DF0E-4FB1-806D-FD92F7EF39C3}"/>
    <hyperlink ref="T346" location="Moves!K167" display="Contrary" xr:uid="{D7A7FE2A-E947-4C0C-9505-FA732199D627}"/>
    <hyperlink ref="U346" location="Moves!K68" display="Sharpness" xr:uid="{5E55333A-4C8C-4A64-A98D-CD12A0B0DED8}"/>
    <hyperlink ref="S347" location="Moves!K55" display="Inner Focus" xr:uid="{CF6D4637-49A4-4E43-962F-5247C360198F}"/>
    <hyperlink ref="T347" location="Moves!K91" display="Telepathy" xr:uid="{33194BD8-7851-4636-9076-240404CCB303}"/>
    <hyperlink ref="U347" location="Moves!K202" display="Symbiosis" xr:uid="{0C5D8E00-8DAB-467C-81BC-727BD47C6879}"/>
    <hyperlink ref="S348" location="Moves!K105" display="Receiver" xr:uid="{B7F5AD94-85FF-4210-BCAB-C81434BF8824}"/>
    <hyperlink ref="T348" location="Moves!K168" display="Scrappy" xr:uid="{712ACCA4-7671-4EED-B045-C6F431FF62FF}"/>
    <hyperlink ref="U348" location="Moves!K121" display="Defiant" xr:uid="{AC1D11DF-EE5D-443D-A6F8-A61438D0B26C}"/>
    <hyperlink ref="S349" location="Moves!K17" display="Pickup" xr:uid="{2FBFE051-D1D9-4905-BE70-EEFAC8695DDB}"/>
    <hyperlink ref="T349" location="Moves!K5" display="Gluttony" xr:uid="{B7E968F6-F5A3-4110-844F-C37BEA429A61}"/>
    <hyperlink ref="U349" location="Moves!K187" display="Quick Feet" xr:uid="{E26ECEA7-694D-4805-AB5A-969D5B941A89}"/>
    <hyperlink ref="S350" location="Moves!K17" display="Pickup" xr:uid="{A8B0AFB0-7AE6-468B-8F67-ECBA12C4279F}"/>
    <hyperlink ref="T350" location="Moves!K5" display="Gluttony" xr:uid="{45C4B04C-94AA-4D01-BF33-5E7435ED9A25}"/>
    <hyperlink ref="U350" location="Moves!K187" display="Quick Feet" xr:uid="{36C13539-CD19-4F7B-BB27-5C9EA469387B}"/>
    <hyperlink ref="S351" location="Moves!K106" display="Reckless" xr:uid="{E7637AD7-C5C0-4D6F-8281-C06E02C6FED8}"/>
    <hyperlink ref="T351" location="Moves!K46" display="Guts" xr:uid="{489CB450-A7A8-425C-9E31-0B92EDF5BD4C}"/>
    <hyperlink ref="U351" location="Moves!K121" display="Defiant" xr:uid="{98600DDF-217B-4A2D-BA43-2D5F634B5134}"/>
    <hyperlink ref="S352" location="Moves!K39" display="Sap Sipper" xr:uid="{D8437500-912E-487E-AB81-96BE094554CE}"/>
    <hyperlink ref="T352" location="Moves!K149" display="Hydration" xr:uid="{F9AA7B95-6F88-4894-848C-0CA937B31DB2}"/>
    <hyperlink ref="U352" location="Moves!K205" display="Gooey" xr:uid="{652D242C-545D-4C38-AEE8-3D86939671D7}"/>
    <hyperlink ref="S353" location="Moves!K39" display="Sap Sipper" xr:uid="{8A80030A-1288-492F-A690-44ACDB968BF1}"/>
    <hyperlink ref="T353" location="Moves!K149" display="Hydration" xr:uid="{E9B40DD0-B6BF-4D26-BFE9-90FA64B4698A}"/>
    <hyperlink ref="U353" location="Moves!K205" display="Gooey" xr:uid="{88438592-E3A2-4093-AC1A-37F8B3C11377}"/>
    <hyperlink ref="S354" location="Moves!K39" display="Sap Sipper" xr:uid="{BEEDA9A0-CDE7-4910-8D02-2F7602CDD193}"/>
    <hyperlink ref="T354" location="Moves!K149" display="Hydration" xr:uid="{1150EE57-5C88-4613-938B-6821C53D9E04}"/>
    <hyperlink ref="U354" location="Moves!K205" display="Gooey" xr:uid="{BB80E932-57D3-45D0-8D56-5A0BBD02254D}"/>
    <hyperlink ref="S355" location="Moves!K107" display="Dazzling" xr:uid="{C0663334-F760-4520-8548-7AC920D5495E}"/>
    <hyperlink ref="T355" location="Moves!K71" display="Strong Jaw" xr:uid="{1953F453-5A6E-4C0F-9695-B77662D4816E}"/>
    <hyperlink ref="U355" location="Moves!K206" display="Wonder Skin" xr:uid="{D3FE39C3-170B-439F-A7AC-E678B448AC26}"/>
    <hyperlink ref="S356" location="Moves!K108" display="Prankster" xr:uid="{B4205794-17A9-4E56-9C05-410DC50E86A4}"/>
    <hyperlink ref="T356" location="Moves!K94" display="Frisk" xr:uid="{6CCC8CC8-5B71-4FC0-9573-2773C953E030}"/>
    <hyperlink ref="U356" location="Moves!K154" display="Pickpocket" xr:uid="{19196C94-936F-4906-85AA-16CE83C5B640}"/>
    <hyperlink ref="S357" location="Moves!K108" display="Prankster" xr:uid="{63851B0C-7A73-4B08-BEEA-CCE66FBA1FAC}"/>
    <hyperlink ref="T357" location="Moves!K94" display="Frisk" xr:uid="{A196368B-BDB7-41A9-A3F6-38D6C65A7CE8}"/>
    <hyperlink ref="U357" location="Moves!K154" display="Pickpocket" xr:uid="{97C68B94-54D8-46F1-BFF2-A82DFDEA4B6A}"/>
    <hyperlink ref="S358" location="Moves!K108" display="Prankster" xr:uid="{33B8DF10-C977-4FC4-B2B8-0FE5DCFA241E}"/>
    <hyperlink ref="T358" location="Moves!K48" display="Tangling Hair" xr:uid="{6ADE0DFB-E41E-481B-92A4-11CE02973D37}"/>
    <hyperlink ref="U358" location="Moves!K154" display="Pickpocket" xr:uid="{F89D56B2-3CE4-4989-A3DB-2295F262913A}"/>
    <hyperlink ref="S359" location="Moves!K109" display="Natural Cure" xr:uid="{B097651A-2A83-4F99-8F24-DD216F51D2FC}"/>
    <hyperlink ref="T359" location="Moves!K159" display="Pixilate" xr:uid="{83E79AD3-7C71-4EA2-8C78-E0DC8F25601E}"/>
    <hyperlink ref="U359" location="Moves!K87" display="Fluffy" xr:uid="{A37F7DCF-7F74-4DB8-9CBB-2CDBE91E60CE}"/>
    <hyperlink ref="S360" location="Moves!K109" display="Natural Cure" xr:uid="{3BA5A15E-60B1-470B-811A-549E88A71149}"/>
    <hyperlink ref="T360" location="Moves!K198" display="Vocalist (Punk Rock)" xr:uid="{2EF9EBDC-05BA-4375-A581-6B898B547194}"/>
    <hyperlink ref="U360" location="Moves!K87" display="Fluffy" xr:uid="{7D59E544-9475-49E2-8883-091E17ED6004}"/>
    <hyperlink ref="S361" location="Moves!K6" display="Vital Spirit" xr:uid="{617C8330-DB60-4668-B9F3-50AF731FBA3B}"/>
    <hyperlink ref="T361" location="Moves!K156" display="Anger Point" xr:uid="{961B336B-2A00-4237-AF30-EC915782A8E5}"/>
    <hyperlink ref="U361" location="Moves!K207" display="Gorilla Tactics" xr:uid="{E9F1BD61-0A33-4510-9C20-D3C608303986}"/>
    <hyperlink ref="S362" location="Moves!K6" display="Vital Spirit" xr:uid="{D41AD225-36C7-4A98-B320-A5DBB582127A}"/>
    <hyperlink ref="T362" location="Moves!K156" display="Anger Point" xr:uid="{8A067582-67F3-4145-A65E-5281FBE17D2B}"/>
    <hyperlink ref="U362" location="Moves!K207" display="Gorilla Tactics" xr:uid="{602DBFD6-F8C6-48FF-9E58-F4FE174248A0}"/>
    <hyperlink ref="S363" location="Moves!K6" display="Vital Spirit" xr:uid="{A95EA20E-8FBA-4C30-B99D-4046DD10D34C}"/>
    <hyperlink ref="T363" location="Moves!K55" display="Inner Focus" xr:uid="{9A860312-A10E-451F-A117-4E7409CC557E}"/>
    <hyperlink ref="U363" location="Moves!K207" display="Gorilla Tactics" xr:uid="{9CEA7F84-A22D-476E-AF0D-D99FA1D3AF84}"/>
    <hyperlink ref="S364" location="Moves!K110" display="Soundproof" xr:uid="{6EDFCCA3-008B-4732-A814-C7AF84907F35}"/>
    <hyperlink ref="T364" location="Moves!K22" display="Static" xr:uid="{799419C8-4A40-4144-B8E4-759E7A7F40C6}"/>
    <hyperlink ref="U364" location="Moves!K155" display="Aftermath" xr:uid="{49DCCE89-D395-4780-BC5C-20FE5CEAA242}"/>
    <hyperlink ref="S365" location="Moves!K110" display="Soundproof" xr:uid="{0B0ABFDF-79DA-4B83-BCB9-5BBE7BB6B5CA}"/>
    <hyperlink ref="T365" location="Moves!K22" display="Static" xr:uid="{F7980736-B19D-48AC-80F2-6CD4E47A448A}"/>
    <hyperlink ref="U365" location="Moves!K155" display="Aftermath" xr:uid="{5FD40E42-2657-424B-B422-8C8755905EF8}"/>
    <hyperlink ref="S366" location="Moves!K33" display="Water Absorb" xr:uid="{0E86DCF4-FF92-4183-89F9-1FC879678CCB}"/>
    <hyperlink ref="T366" location="Moves!K96" display="Shell Armor" xr:uid="{75FC66DA-00BC-4A05-B9FA-8C71CEE369F3}"/>
    <hyperlink ref="U366" location="Moves!K149" display="Hydration" xr:uid="{E5DA8BEA-3218-4E4F-9D54-6C16460A4A2E}"/>
    <hyperlink ref="S367" location="Moves!K55" display="Inner Focus" xr:uid="{BF4A30C0-A285-489B-B711-874D3E83F9E4}"/>
    <hyperlink ref="T367" location="Moves!K169" display="Early Bird" xr:uid="{AECF1403-FE05-4330-AC0D-AC0CB6631842}"/>
    <hyperlink ref="U367" location="Moves!K39" display="Sap Sipper" xr:uid="{ACF83150-B64A-4ED9-ABEA-0A6FEE46FBFA}"/>
    <hyperlink ref="S368" location="Moves!K111" display="Cud Chew" xr:uid="{05A30B38-88EB-44FD-A424-3F2360923F0C}"/>
    <hyperlink ref="T368" location="Moves!K170" display="Armor Tail" xr:uid="{18633BB9-D969-4E8E-812F-24D89E807AE6}"/>
    <hyperlink ref="U368" location="Moves!K39" display="Sap Sipper" xr:uid="{BB870958-60FD-4239-829B-8E9AA7BC6A76}"/>
    <hyperlink ref="S369" location="Moves!K13" display="Chlorophyll" xr:uid="{14549FD6-5289-494F-86EC-3FCEB5D2A600}"/>
    <hyperlink ref="T369" location="Moves!K79" display="Adaptability" xr:uid="{7C6CCE6F-AD7F-41C6-A970-857E0CF7AFC4}"/>
    <hyperlink ref="U369" location="Moves!K104" display="Gluttony" xr:uid="{9E90330E-8738-4E08-8A80-4A4F3D8C33E3}"/>
    <hyperlink ref="S370" location="Moves!K13" display="Chlorophyll" xr:uid="{E4B60639-1584-42F8-918C-9C1DEFAAC26D}"/>
    <hyperlink ref="T370" location="Moves!K79" display="Adaptability" xr:uid="{F651DBE7-532C-4DD0-B72E-A2CB84FA4947}"/>
    <hyperlink ref="U370" location="Moves!K104" display="Gluttony" xr:uid="{802F36D1-E51D-4887-B3FE-58FBC6E769A0}"/>
    <hyperlink ref="S371" location="Moves!K13" display="Chlorophyll" xr:uid="{69CA764B-1936-4483-9A0A-72DE849E2BBA}"/>
    <hyperlink ref="T371" location="Moves!K79" display="Adaptability" xr:uid="{0A559C07-F93C-4282-9F5B-51F5C48012F3}"/>
    <hyperlink ref="U371" location="Moves!K104" display="Gluttony" xr:uid="{C22A9E68-9028-4CE5-B953-0BAFEE498424}"/>
    <hyperlink ref="S372" location="Moves!K112" display="Magnet Pull" xr:uid="{93579D9F-C8D6-4AA0-9E63-98385A51C77A}"/>
    <hyperlink ref="T372" location="Moves!K18" display="Sturdy" xr:uid="{CF95E5CF-8900-47D3-9F45-12AF1D222814}"/>
    <hyperlink ref="U372" location="Moves!K54" display="Analytic" xr:uid="{81CC53FB-FBE5-4CC8-A6FD-554403026DC0}"/>
    <hyperlink ref="S373" location="Moves!K112" display="Magnet Pull" xr:uid="{CB0F650F-6D04-4A7E-B5AC-FD0488205331}"/>
    <hyperlink ref="T373" location="Moves!K18" display="Sturdy" xr:uid="{24B6ACAB-153E-438F-B846-B0C1EEF90098}"/>
    <hyperlink ref="U373" location="Moves!K54" display="Analytic" xr:uid="{B673D7DD-CB3A-4942-BFF5-6862B26DE8E3}"/>
    <hyperlink ref="S374" location="Moves!K112" display="Magnet Pull" xr:uid="{1581BEC3-6F40-4314-BC28-6EAAB6BDD405}"/>
    <hyperlink ref="T374" location="Moves!K18" display="Sturdy" xr:uid="{3E6E1920-8530-4F86-948D-DB96DBC23A35}"/>
    <hyperlink ref="U374" location="Moves!K54" display="Analytic" xr:uid="{9AE7F570-D5A3-49B2-BEB8-B33A6F652941}"/>
    <hyperlink ref="S375" location="Moves!K37" display="Snow Cloak" xr:uid="{99E4EA0A-CB52-4561-BF7C-A83487CDA0B9}"/>
    <hyperlink ref="T375" location="Moves!K171" display="Slush Rush" xr:uid="{024B3F1C-8322-499D-9B55-1BA87D26E839}"/>
    <hyperlink ref="U375" location="Moves!K77" display="Fur Coat" xr:uid="{532836D8-A59E-44B9-82EA-0B6D92ACF19C}"/>
    <hyperlink ref="S376" location="Moves!K37" display="Snow Cloak" xr:uid="{1C13F283-941B-4E16-8BF2-67BEB798D866}"/>
    <hyperlink ref="T376" location="Moves!K171" display="Slush Rush" xr:uid="{B7075BAE-8749-460E-B694-D6397F9D26DF}"/>
    <hyperlink ref="U376" location="Moves!K77" display="Fur Coat" xr:uid="{9815B3A2-D3E1-45C1-ACDE-7F8DE2911C9E}"/>
    <hyperlink ref="S377" location="Moves!K7" display="Intimidate" xr:uid="{264D6615-173B-4897-ACC9-BB58FC293555}"/>
    <hyperlink ref="T377" location="Moves!K35" display="Flash Fire" xr:uid="{36E61483-27E2-4548-AF7A-7D18FDAC76CC}"/>
    <hyperlink ref="U377" location="Moves!K77" display="Fur Coat" xr:uid="{136DC417-60CD-41CF-8BAE-AFF04A83A983}"/>
    <hyperlink ref="S378" location="Moves!K7" display="Intimidate" xr:uid="{7CFD547B-173C-4057-97F4-52DBE987D7AE}"/>
    <hyperlink ref="T378" location="Moves!K35" display="Flash Fire" xr:uid="{1B02F738-D951-4DDC-8AEE-9EDF6CCCDA40}"/>
    <hyperlink ref="U378" location="Moves!K77" display="Fur Coat" xr:uid="{E574D096-58FE-4EA0-B12F-BA93628A1126}"/>
    <hyperlink ref="S379" location="Moves!K50" display="Damp" xr:uid="{787F54F0-EACA-495C-96CB-85CADF3E42BB}"/>
    <hyperlink ref="T379" location="Moves!K172" display="Cloud Nine" xr:uid="{D0914751-0DB5-4BA2-9019-DF4576C693E3}"/>
    <hyperlink ref="U379" location="Moves!K110" display="Soundproof" xr:uid="{D6E4CD9E-4EBE-4C84-9966-4590B448595A}"/>
    <hyperlink ref="S380" location="Moves!K50" display="Damp" xr:uid="{C25FD988-5385-4E60-8106-088D9731FC44}"/>
    <hyperlink ref="T380" location="Moves!K172" display="Cloud Nine" xr:uid="{078BA297-7F83-49F5-A415-D7281573FF5B}"/>
    <hyperlink ref="U380" location="Moves!K198" display="Punk Rock (Vocalist)" xr:uid="{B5C21509-A225-436B-A0F3-339DC04B0C55}"/>
    <hyperlink ref="S381" location="Moves!K11" display="Speed Boost" xr:uid="{A5D1955B-96D5-4E8C-B80A-122468449BE1}"/>
    <hyperlink ref="T381" location="Moves!K10" display="Compound Eyes" xr:uid="{AB71567B-EC0F-48F8-ADCD-7EA414309BDB}"/>
    <hyperlink ref="U381" location="Moves!K208" display="Wind Rider" xr:uid="{4CC6E1AF-1312-467E-B689-BD9F75E3FB32}"/>
    <hyperlink ref="S382" location="Moves!K11" display="Speed Boost" xr:uid="{5271644F-744E-48AC-B622-74426F1D06D9}"/>
    <hyperlink ref="T382" location="Moves!K127" display="Tinted Lens" xr:uid="{2E9C1E1E-865A-4198-B308-CC52C1926556}"/>
    <hyperlink ref="U382" location="Moves!K208" display="Wind Rider" xr:uid="{9DE2E405-8E1D-464C-B0AF-29A319581256}"/>
    <hyperlink ref="S383" location="Moves!K20" display="Rock Head" xr:uid="{7004832B-3FA5-42F4-8B42-270570BE70F5}"/>
    <hyperlink ref="T383" location="Moves!K74" display="Pressure" xr:uid="{7AF11B00-6306-4DD3-9423-D40AD043B18C}"/>
    <hyperlink ref="U383" location="Moves!K71" display="Strong Jaw" xr:uid="{5851279F-735C-4217-8119-BFBCE490F18C}"/>
    <hyperlink ref="S384" location="Moves!K86" display="Mega Launcher" xr:uid="{6990DF52-1FB4-496D-B122-F80DDECA7398}"/>
    <hyperlink ref="T384" location="Moves!K148" display="Sniper" xr:uid="{21580A16-71EA-45A4-B7ED-B85336C2931C}"/>
    <hyperlink ref="U384" location="Moves!K191" display="Moody" xr:uid="{1B85DD8A-E013-42BD-B7A2-A717F76600BD}"/>
    <hyperlink ref="S385" location="Moves!K86" display="Mega Launcher" xr:uid="{30009DFB-4BBD-462F-98D4-489DD64FB943}"/>
    <hyperlink ref="T385" location="Moves!K148" display="Sniper" xr:uid="{224A3421-7197-4D2F-AFB6-0336D157B3EC}"/>
    <hyperlink ref="U385" location="Moves!K191" display="Moody" xr:uid="{9A91BC5A-D3CD-4224-9D47-CCCB8AE3A647}"/>
    <hyperlink ref="S386" location="Moves!K8" display="Keen Eye" xr:uid="{1D54BF7D-E521-45C0-817E-B979BBA53079}"/>
    <hyperlink ref="T386" location="Moves!K72" display="Sheer Force" xr:uid="{831FC194-472C-48B6-8778-DF135E76F832}"/>
    <hyperlink ref="U386" location="Moves!K87" display="Fluffy" xr:uid="{7798D719-A604-4659-9180-4DB0BAF2711C}"/>
    <hyperlink ref="S387" location="Moves!K8" display="Keen Eye" xr:uid="{9DCE47F9-57B0-4658-BAAE-842CEA0319BE}"/>
    <hyperlink ref="T387" location="Moves!K72" display="Sheer Force" xr:uid="{B331794C-98C7-4069-8B41-E634321A9399}"/>
    <hyperlink ref="U387" location="Moves!K87" display="Fluffy" xr:uid="{CF50FEBC-76FE-4F8F-8C5B-E7B8A8E9FAD8}"/>
    <hyperlink ref="S391" location="Moves!K30" display="Synchronize" xr:uid="{343EBBED-5229-4992-A1DC-4F32CECCF5B5}"/>
    <hyperlink ref="T391" location="Moves!K169" display="Early Bird" xr:uid="{862FDB35-78C0-4D86-AEA6-D039C9098B99}"/>
    <hyperlink ref="U391" location="Moves!K181" display="Magic Bounce" xr:uid="{98699353-520D-4E2A-9448-170F463620D6}"/>
    <hyperlink ref="S392" location="Moves!K30" display="Synchronize" xr:uid="{75F76A02-FBE3-4F30-9530-37D7A008F63F}"/>
    <hyperlink ref="T392" location="Moves!K169" display="Early Bird" xr:uid="{1D5FA539-F29C-45CE-A80D-07BC39C3B24F}"/>
    <hyperlink ref="U392" location="Moves!K181" display="Magic Bounce" xr:uid="{CF272590-8AF1-4D8B-B1C4-11BCD640D0ED}"/>
    <hyperlink ref="S393" location="Moves!K113" display="Snow Warning" xr:uid="{71592D24-02A5-4D10-BEF8-9B6796DAA5F7}"/>
    <hyperlink ref="U393" location="Moves!K128" display="Long Reach" xr:uid="{58E9AAAA-0513-4E2D-AF78-853DB232AA46}"/>
    <hyperlink ref="S394" location="Moves!K113" display="Snow Warning" xr:uid="{7DA88968-4BAA-4087-9D30-D71FD0616C1C}"/>
    <hyperlink ref="U394" location="Moves!K128" display="Long Reach" xr:uid="{282CE950-51A3-4BA4-B1DA-8836BD39B189}"/>
    <hyperlink ref="S395" location="Moves!K15" display="Levitate" xr:uid="{DA1815F4-0A0C-416E-93AD-A582A7C5BEAE}"/>
    <hyperlink ref="U395" location="Moves!K94" display="Frisk" xr:uid="{64793D8A-F966-4D47-8497-E8F8E62748A2}"/>
    <hyperlink ref="S396" location="Moves!K74" display="Pressure" xr:uid="{F6BB525F-E5E2-43CE-9FA3-D4FF5CBE090B}"/>
    <hyperlink ref="U396" location="Moves!K94" display="Frisk" xr:uid="{2CF6272F-8270-4FEB-95D4-C807DF128740}"/>
    <hyperlink ref="S397" location="Moves!K74" display="Pressure" xr:uid="{9C2627BD-5890-46AC-9D46-F72D50697E5B}"/>
    <hyperlink ref="U397" location="Moves!K94" display="Frisk" xr:uid="{78C94E2F-F3CB-4FFD-8E09-6D194D628C21}"/>
    <hyperlink ref="S398" location="Moves!K101" display="Oblivious" xr:uid="{93F75F58-F04B-4AE6-815D-FA3DE0794714}"/>
    <hyperlink ref="T398" location="Moves!K29" display="Thick Layers" xr:uid="{D4CC2EDE-362C-45DE-B7F4-68731BFD0F72}"/>
    <hyperlink ref="U398" location="Moves!K77" display="Fur Coat" xr:uid="{AADA3607-5B0E-43A0-96B6-1EDADB57269B}"/>
    <hyperlink ref="S399" location="Moves!K101" display="Oblivious" xr:uid="{54E49685-C11F-4744-A00B-79FE375C61DC}"/>
    <hyperlink ref="T399" location="Moves!K29" display="Thick Layers" xr:uid="{64376EAE-5495-4CC9-A695-30F5E7BA5A9E}"/>
    <hyperlink ref="U399" location="Moves!K77" display="Fur Coat" xr:uid="{5A1A1161-D0E3-4806-BDD1-577EB1F61EFF}"/>
    <hyperlink ref="S400" location="Moves!K101" display="Oblivious" xr:uid="{908EF169-A673-4E5A-9E0D-630313E6DB99}"/>
    <hyperlink ref="T400" location="Moves!K29" display="Thick Layers" xr:uid="{CF90ADEC-5230-457A-813D-CF6B293DC083}"/>
    <hyperlink ref="U400" location="Moves!K77" display="Fur Coat" xr:uid="{1543CD6F-B27F-4148-A701-4763DADD0EF7}"/>
    <hyperlink ref="S401" location="Moves!K44" display="Hyper Cutter" xr:uid="{DBAC516A-5DC3-4D4B-A705-DAE7B9609A69}"/>
    <hyperlink ref="T401" location="Moves!K96" display="Shell Armor" xr:uid="{301CA6EE-B297-4773-822B-F05281578A40}"/>
    <hyperlink ref="U401" location="Moves!K141" display="Adaptability" xr:uid="{AE0636DE-A220-4BD3-ADBC-767E4AE6114E}"/>
    <hyperlink ref="S402" location="Moves!K44" display="Hyper Cutter" xr:uid="{7C9CD7A8-3A81-46A5-8D8F-EA199FA286EA}"/>
    <hyperlink ref="T402" location="Moves!K96" display="Shell Armor" xr:uid="{2C986F6D-9C71-48F3-95D1-B41BAFDC7601}"/>
    <hyperlink ref="U402" location="Moves!K141" display="Adaptability" xr:uid="{72C707A2-A284-41C9-9927-88C9973BDFC7}"/>
    <hyperlink ref="S404" location="Moves!K15" display="Levitate" xr:uid="{BE0A69EA-5B56-4991-AF68-4A20986C9ED4}"/>
    <hyperlink ref="S405" location="Moves!K114" display="Solid Rock" xr:uid="{36A5E282-4EFA-4762-B89E-F70BCE0BA7BA}"/>
    <hyperlink ref="T405" location="Moves!K18" display="Sturdy" xr:uid="{BFCFF5C5-2A4F-4E0E-B709-6EB942B7E9B7}"/>
    <hyperlink ref="U405" location="Moves!K79" display="Swift Swim" xr:uid="{29E68F15-27EF-4DDD-8C9F-AFB4C169F6DE}"/>
    <hyperlink ref="S406" location="Moves!K114" display="Solid Rock" xr:uid="{DC1ADA2D-07DE-4083-BD7D-B97981D61D0D}"/>
    <hyperlink ref="T406" location="Moves!K18" display="Sturdy" xr:uid="{BD1AB343-B9D3-4842-A39B-F534E7413F8C}"/>
    <hyperlink ref="U406" location="Moves!K79" display="Swift Swim" xr:uid="{F589A0D3-F603-4016-B441-F152C6B8FA91}"/>
    <hyperlink ref="S407" location="Moves!K115" display="Defeatist" xr:uid="{820C3C93-A173-42F0-88DF-DC2941A986E3}"/>
    <hyperlink ref="S408" location="Moves!K115" display="Defeatist" xr:uid="{FAF3B035-DD04-48AD-B82B-24414B17B3F9}"/>
    <hyperlink ref="U408" location="Moves!K87" display="Fluffy" xr:uid="{4DEDC4DA-DD95-4F82-9DF5-A2BE491799D1}"/>
    <hyperlink ref="S409" location="Moves!K34" display="Volt Absorb" xr:uid="{EF11A198-7418-4BB2-AA8E-AAE0F11CA510}"/>
    <hyperlink ref="T409" location="Moves!K71" display="Strong Jaw" xr:uid="{1FA0C5EE-DFD6-4FC8-8F80-03EF890C025F}"/>
    <hyperlink ref="U409" location="Moves!K116" display="Sand Stream" xr:uid="{77B3B2CB-AD1C-4A5F-9134-7795481A2148}"/>
    <hyperlink ref="S410" location="Moves!K34" display="Volt Absorb" xr:uid="{6733587A-D0D7-4C4A-BA24-1CE59028A8B9}"/>
    <hyperlink ref="T410" location="Moves!K71" display="Strong Jaw" xr:uid="{850057DB-001F-40CB-968A-274A361767DC}"/>
    <hyperlink ref="U410" location="Moves!K113" display="Snow Warning" xr:uid="{C78D3C4D-4F3D-40E0-A2B5-2FFE1966A46E}"/>
    <hyperlink ref="S411" location="Moves!K33" display="Water Absorb" xr:uid="{F26E8440-3201-46E4-A48A-1E844FD4920E}"/>
    <hyperlink ref="T411" location="Moves!K71" display="Strong Jaw" xr:uid="{62281F74-7E18-4B01-B46D-4BF3F3B15CAA}"/>
    <hyperlink ref="U411" location="Moves!K150" display="Drizzle" xr:uid="{28AB649D-FA99-4DAA-99E4-830C74320175}"/>
    <hyperlink ref="S412" location="Moves!K33" display="Water Absorb" xr:uid="{2165F7F1-0595-4B9C-963E-489B84A75560}"/>
    <hyperlink ref="T412" location="Moves!K71" display="Strong Jaw" xr:uid="{9532FE8D-0F93-42BB-9B05-EF657AB2723B}"/>
    <hyperlink ref="U412" location="Moves!K113" display="Snow Warning" xr:uid="{B9E75203-5563-443C-B221-6DE06C04FF92}"/>
    <hyperlink ref="S413" location="Moves!K69" display="Battle Armor" xr:uid="{333322AF-EAB4-4C21-BDAB-C52B988CE1E9}"/>
    <hyperlink ref="S415" location="Moves!K46" display="Guts" xr:uid="{9FE5DA08-A2DE-43E3-8096-366A285954BC}"/>
    <hyperlink ref="U415" location="Moves!K182" display="Earth Eater" xr:uid="{284C2827-7136-46D5-BF46-C2133C54B694}"/>
    <hyperlink ref="S416" location="Moves!K27" display="Shed Skin" xr:uid="{68988171-66DB-4A0E-82D4-416888594371}"/>
    <hyperlink ref="U416" location="Moves!K182" display="Earth Eater" xr:uid="{0FB855B3-D64D-4E0E-9DB0-45E38B321F47}"/>
    <hyperlink ref="S417" location="Moves!K116" display="Sand Stream" xr:uid="{D734DBE0-DD72-40C1-8EED-46987351EDAF}"/>
    <hyperlink ref="U417" location="Moves!K182" display="Earth Eater" xr:uid="{E11A8DA3-B853-4205-AF31-0B90FC015A97}"/>
    <hyperlink ref="S418" location="Moves!K117" display="Steelworker" xr:uid="{B6EE180A-C7AB-4688-A6C4-99A052EA08CD}"/>
    <hyperlink ref="S419" location="Moves!K27" display="Shed Skin" xr:uid="{5CE4DF01-6702-42DB-8E24-413DB9F59AA5}"/>
    <hyperlink ref="U419" location="Moves!K209" display="Marvel Scale" xr:uid="{A04251CF-A2AA-4EC0-BA33-6C4D66B68719}"/>
    <hyperlink ref="S420" location="Moves!K27" display="Shed Skin" xr:uid="{3CB1A816-BC07-4588-B5AE-BE3E6A0F68C9}"/>
    <hyperlink ref="U420" location="Moves!K210" display="Atmospheric" xr:uid="{E87C88C4-CE33-4034-B435-C79F5648306E}"/>
    <hyperlink ref="S421" location="Moves!K55" display="Inner Focus" xr:uid="{08015382-BE8B-4FEB-AB58-18892C999564}"/>
    <hyperlink ref="U421" location="Moves!K211" display="Multiscale" xr:uid="{E4090C4D-C0C4-4CA3-9176-9172C8E0B325}"/>
    <hyperlink ref="S422" location="Moves!K74" display="Pressure" xr:uid="{DF8013DD-E953-477C-AAAB-579AEFB3D046}"/>
    <hyperlink ref="U422" location="Moves!K55" display="Inner Focus" xr:uid="{F0F41EAD-907A-4DD1-88B4-A7B61FF9ABF3}"/>
    <hyperlink ref="S424" location="Moves!K74" display="Pressure" xr:uid="{B4D453BE-8B8D-434C-AE46-D3A41D9D8324}"/>
    <hyperlink ref="U424" location="Moves!K55" display="Inner Focus" xr:uid="{85F5F864-7A12-4EE3-99E4-8286C9D4F4FD}"/>
    <hyperlink ref="S426" location="Moves!K74" display="Pressure" xr:uid="{F8EA818F-394D-41A0-9ABF-B4C837AFED1C}"/>
    <hyperlink ref="U426" location="Moves!K55" display="Inner Focus" xr:uid="{645AD2A1-004A-47A3-8FC7-2EDA8335F6F7}"/>
    <hyperlink ref="S428" location="Moves!K150" display="Drizzle" xr:uid="{3CAA49AB-FFCF-42C9-AA81-99A4C1DDAD00}"/>
    <hyperlink ref="S429" location="Moves!K164" display="Drought" xr:uid="{2EAEAEAB-08B4-4CD7-A951-FCF1C5440C0A}"/>
    <hyperlink ref="S430" location="Moves!K62" display="Air Lock" xr:uid="{0ED23C38-24DB-43F2-811E-4542BF7648FF}"/>
    <hyperlink ref="S431" location="Moves!K121" display="Defiant" xr:uid="{AE09C77C-66FB-4669-9266-906B1973AD0E}"/>
    <hyperlink ref="U431" location="Moves!K212" display="Embody Aspect (Spe)" xr:uid="{FF28D32B-5B9A-469E-B6EF-9892A7CE86D8}"/>
    <hyperlink ref="S432" location="Moves!K2" display="Overgrow" xr:uid="{B620D6A6-CBE9-49AD-A28D-7E5EFA84E28C}"/>
    <hyperlink ref="T432" location="Moves!K133" display="Strong Legs" xr:uid="{7683452B-DC81-45B7-99E7-AEA74B99B7D2}"/>
    <hyperlink ref="U432" location="Moves!K87" display="Fluffy" xr:uid="{B4BC5D9E-7E2A-4CA9-B3A3-7E9B0AF3C018}"/>
    <hyperlink ref="S433" location="Moves!K123" display="Cursed Body" xr:uid="{9FB9D12D-B0F0-42F6-B89F-5A4D8FEC13D5}"/>
    <hyperlink ref="T433" location="Moves!K53" display="Lightning Rod" xr:uid="{BEECED71-4D27-4E71-806E-30B646205E98}"/>
    <hyperlink ref="U433" location="Moves!K20" display="Rock Head" xr:uid="{B2C7619C-0A7D-4A7C-BA1C-F61E69A0F884}"/>
    <hyperlink ref="S434" location="Moves!K124" display="Poison Touch" xr:uid="{245ACDCC-F09F-443A-A2E6-EA3324CBCDE8}"/>
    <hyperlink ref="T434" location="Moves!K5" display="Gluttony" xr:uid="{20446A24-880D-475E-9F77-CA451437209D}"/>
    <hyperlink ref="U434" location="Moves!K213" display="Power of Alchemy" xr:uid="{AE2CF7B5-F4E1-45B7-B52D-79B3DD4AE89C}"/>
    <hyperlink ref="S435" location="Moves!K124" display="Poison Touch" xr:uid="{66BE43AD-4338-4A7F-BE10-836F8CC3F050}"/>
    <hyperlink ref="T435" location="Moves!K5" display="Gluttony" xr:uid="{DC8C2B7F-1B7C-4667-AD74-2338FF23E1CD}"/>
    <hyperlink ref="U435" location="Moves!K213" display="Power of Alchemy" xr:uid="{34F26C86-3069-422F-A055-7ACAC1CFE679}"/>
    <hyperlink ref="S436" location="Moves!K42" display="Dancer" xr:uid="{50387055-3134-4667-A061-86C290A16C08}"/>
    <hyperlink ref="S437" location="Moves!K42" display="Dancer" xr:uid="{C2CD4C60-7BFF-4911-9A00-A68CAFB099A2}"/>
    <hyperlink ref="S438" location="Moves!K42" display="Dancer" xr:uid="{5E505E37-D35B-457A-91D9-1CFBFE69353D}"/>
    <hyperlink ref="S439" location="Moves!K37" display="Snow Cloak" xr:uid="{373007D2-66E2-4FAF-9E03-6888C13BAFA9}"/>
    <hyperlink ref="T439" location="Moves!K171" display="Slush Rush" xr:uid="{D428A23B-E375-4C45-8793-BB6AC0160489}"/>
    <hyperlink ref="U439" location="Moves!K152" display="Ice Scales" xr:uid="{75DBF5F7-E6C4-4250-9C8D-D85E84CE870F}"/>
    <hyperlink ref="S440" location="Moves!K37" display="Snow Cloak" xr:uid="{5EF9560F-22C1-44B6-BD10-8066E3634723}"/>
    <hyperlink ref="T440" location="Moves!K171" display="Slush Rush" xr:uid="{E66ED35A-6756-4427-BB1C-E31CC5FCA064}"/>
    <hyperlink ref="U440" location="Moves!K152" display="Ice Scales" xr:uid="{93DF6BF2-12BF-4CA3-B2F2-57C5601831CA}"/>
    <hyperlink ref="S441" location="Moves!K21" display="Own Tempo" xr:uid="{4D56F2CA-24CD-4723-86DA-6333F27A4657}"/>
    <hyperlink ref="S442" location="Moves!K18" display="Sturdy" xr:uid="{58DD68A4-C791-49E5-BD07-09362EF9A058}"/>
    <hyperlink ref="T442" location="Moves!K125" display="Tough Claws" xr:uid="{A05617A0-3DB5-462E-B3F1-64A5D807F4B4}"/>
    <hyperlink ref="U442" location="Moves!K58" display="No Guard" xr:uid="{DA361CE8-3715-4C6A-BDA0-5E4A5606EEA4}"/>
    <hyperlink ref="S443" location="Moves!K125" display="Tough Claws" xr:uid="{212D437C-DBDE-492E-A531-3B5E34A35D86}"/>
    <hyperlink ref="T443" location="Moves!K133" display="Strong Legs" xr:uid="{1DB9633F-58C6-41B8-8308-7B2B4DB7EDC2}"/>
    <hyperlink ref="U443" location="Moves!K77" display="Fur Coat" xr:uid="{1A5E6ABB-25C2-4A56-9926-C33A97EFA6A4}"/>
    <hyperlink ref="S444" location="Moves!K51" display="Poison Point" xr:uid="{BDD76EFF-F583-4B03-B6D8-EBC0F559D982}"/>
    <hyperlink ref="T444" location="Moves!K33" display="Water Absorb" xr:uid="{6BF58EBA-6C3D-40CC-B1E4-E63082073196}"/>
    <hyperlink ref="U444" location="Moves!K28" display="Unaware" xr:uid="{D1FC36E1-C901-4669-B829-17BA656A0361}"/>
    <hyperlink ref="S445" location="Moves!K37" display="Snow Cloak" xr:uid="{AF7CBAEB-EAB1-4AA2-A46F-FEA2D44E3812}"/>
    <hyperlink ref="U445" location="Moves!K113" display="Snow Warning" xr:uid="{59289E36-B449-4CFA-91B5-6F46D2AD294E}"/>
    <hyperlink ref="S446" location="Moves!K37" display="Snow Cloak" xr:uid="{2F2E0B81-D723-4BDC-8DEA-AC7C06CA24E0}"/>
    <hyperlink ref="U446" location="Moves!K113" display="Snow Warning" xr:uid="{01C8A7F0-2395-4EBA-B62A-9755998E3EEB}"/>
    <hyperlink ref="S447" location="Moves!K59" display="Stance Change" xr:uid="{3D7829DE-85CD-44E8-8678-8F9248CABE58}"/>
    <hyperlink ref="S448" location="Moves!K60" display="Shields Down" xr:uid="{59C0E724-F540-4EDB-9158-F65DCBA178F8}"/>
    <hyperlink ref="S449" location="Moves!K63" display="Zero to Hero" xr:uid="{CFA55C97-7CBD-4C5D-9160-2A639CEA9B22}"/>
    <hyperlink ref="S450" location="Moves!K65" display="Flower Gift" xr:uid="{7ECFCDAB-145B-41F1-BB2F-0230CBC77ADE}"/>
    <hyperlink ref="S451" location="Moves!K73" display="Illusion" xr:uid="{732DB66C-9EB1-40E2-A0FB-704CC2B7827B}"/>
    <hyperlink ref="U451" location="Moves!K87" display="Fluffy" xr:uid="{FD6B3371-9CBD-4BD3-B7E7-531C83CCB562}"/>
    <hyperlink ref="S452" location="Moves!K73" display="Illusion" xr:uid="{DF3CE688-63D8-4EDC-BBA7-82FF14DF5A10}"/>
    <hyperlink ref="U452" location="Moves!K87" display="Fluffy" xr:uid="{7B0F302A-67DF-490D-A3B5-5BC0055E2886}"/>
    <hyperlink ref="S453" location="Moves!K55" display="Inner Focus" xr:uid="{5A6D0836-708B-4F33-AC20-FE6A8DF2E7AE}"/>
    <hyperlink ref="T453" location="Moves!K8" display="Keen Eye" xr:uid="{0BFAF6CC-ABFD-48F7-9B97-83D5FDB19EDC}"/>
    <hyperlink ref="U453" location="Moves!K154" display="Pickpocket" xr:uid="{FEE82D8F-61F2-4C23-ADDE-C757132068CC}"/>
    <hyperlink ref="S454" location="Moves!K17" display="Pickup" xr:uid="{D109D078-319B-4985-9DA1-EC39A1C55B6A}"/>
    <hyperlink ref="T454" location="Moves!K49" display="Technician" xr:uid="{A8FF3050-19C2-45E1-A240-08099A8DEB65}"/>
    <hyperlink ref="U454" location="Moves!K92" display="Rattled" xr:uid="{EDAC1053-E007-4B9F-8596-A41578BE1EBC}"/>
    <hyperlink ref="S455" location="Moves!K17" display="Pickup" xr:uid="{CFDF8AB1-73E9-45E7-A0FE-4616C8F5460B}"/>
    <hyperlink ref="T455" location="Moves!K125" display="Tough Claws" xr:uid="{3153509C-1842-4142-A12A-EA57EF889709}"/>
    <hyperlink ref="U455" location="Moves!K66" display="Unnerve" xr:uid="{8B20A733-A5AE-4AF7-852C-AF7A5BAA5611}"/>
    <hyperlink ref="S456" location="Moves!K77" display="Fur Coat" xr:uid="{AB738252-8A41-4DCB-8A19-F66C4311EA0D}"/>
    <hyperlink ref="T456" location="Moves!K49" display="Technician" xr:uid="{E55888D4-B965-451B-BB40-9FF01B167AD7}"/>
    <hyperlink ref="U456" location="Moves!K92" display="Rattled" xr:uid="{33C43F48-18E5-42B3-B4E1-82D3823AECCD}"/>
    <hyperlink ref="S457" location="Moves!K3" display="Blaze" xr:uid="{65A625FA-78CE-4DFB-9B02-F233E7008829}"/>
    <hyperlink ref="T457" location="Moves!K94" display="Frisk" xr:uid="{F8A64B39-641C-4CB8-A884-BE621A4B65D2}"/>
    <hyperlink ref="U457" location="Moves!K70" display="Comatose" xr:uid="{5CB36629-4591-4AA0-BFDF-9480DE293328}"/>
    <hyperlink ref="S458" location="Moves!K7" display="Intimidate" xr:uid="{85C64447-2F12-4679-8D6A-6B8526403CDC}"/>
    <hyperlink ref="T458" location="Moves!K156" display="Anger Point" xr:uid="{B1B3D04E-FB77-4E69-A10E-266557E85967}"/>
    <hyperlink ref="U458" location="Moves!K111" display="Cud Chew" xr:uid="{37868D07-AAAA-4C14-8064-5E4282C5D816}"/>
    <hyperlink ref="S459" location="Moves!K7" display="Intimidate" xr:uid="{A105D964-52A1-4A0A-924E-254E73272F52}"/>
    <hyperlink ref="T459" location="Moves!K156" display="Anger Point" xr:uid="{27EA4F8F-8E57-4706-90AE-EDE8FF5F64F3}"/>
    <hyperlink ref="U459" location="Moves!K111" display="Cud Chew" xr:uid="{FCD2769E-2C6C-4677-A5E5-375F687053FA}"/>
    <hyperlink ref="S460" location="Moves!K7" display="Intimidate" xr:uid="{183C35E8-939D-4004-94BE-27EDB91740B5}"/>
    <hyperlink ref="T460" location="Moves!K156" display="Anger Point" xr:uid="{2302980B-A8BC-40BE-ADBC-A25DEBAB841E}"/>
    <hyperlink ref="U460" location="Moves!K111" display="Cud Chew" xr:uid="{43C6F566-A0E9-48AA-8EF2-CABFEEB39589}"/>
    <hyperlink ref="S461" location="Moves!K22" display="Static" xr:uid="{5474FCDC-4AD7-4137-9B0C-360FC42C7D83}"/>
    <hyperlink ref="U461" location="Moves!K53" display="Lightning Rod" xr:uid="{A7054BD0-532C-49D2-AAA6-1EDA4395A8BD}"/>
    <hyperlink ref="U462" location="Moves!K43" display="Levitate" xr:uid="{370EA95B-2465-48FE-94E1-02945AB344FB}"/>
    <hyperlink ref="S463" location="Moves!K32" display="Run Away" xr:uid="{9D082E68-AB1D-4887-9E36-8CFE9F834E56}"/>
    <hyperlink ref="T463" location="Moves!K174" display="Pastel Veil" xr:uid="{9F9576B0-B4FE-476B-9FA9-94FE68636AB9}"/>
    <hyperlink ref="U463" location="Moves!K56" display="Anticipation" xr:uid="{5E71BAC5-9A48-40C6-B2DE-E3ED24CB64B2}"/>
    <hyperlink ref="S464" location="Moves!K32" display="Run Away" xr:uid="{CE25B3A8-69DF-475F-B67A-702C53B70914}"/>
    <hyperlink ref="T464" location="Moves!K174" display="Pastel Veil" xr:uid="{BEB53C97-8F70-4BBF-8454-9C20B556B351}"/>
    <hyperlink ref="U464" location="Moves!K56" display="Anticipation" xr:uid="{EFE10D9B-794F-4FDA-8A97-9A6C999D902B}"/>
    <hyperlink ref="S465" location="Moves!K84" display="Weak Armor" xr:uid="{B548D35E-C293-4EC5-8389-CD618A5B7A18}"/>
    <hyperlink ref="U465" location="Moves!K123" display="Cursed Body" xr:uid="{3C83A4EF-5FA0-468A-8418-71881433648A}"/>
    <hyperlink ref="S466" location="Moves!K20" display="Rock Head" xr:uid="{F384D6EF-12FD-4A9A-8C47-7C94C5829EFB}"/>
    <hyperlink ref="T466" location="Moves!K141" display="Adaptability" xr:uid="{1CC181E6-4AB8-42FD-8891-7E48B090F0D1}"/>
    <hyperlink ref="U466" location="Moves!K99" display="Mold Breaker" xr:uid="{A7286FBA-5CDF-4F7C-97FF-B0DF34E73204}"/>
    <hyperlink ref="S467" location="Moves!K92" display="Rattled" xr:uid="{8B0D3B99-89F3-474D-B9C8-DA7A2B698A20}"/>
    <hyperlink ref="T467" location="Moves!K141" display="Adaptability" xr:uid="{1E8FA1D3-16F9-4ECF-BC5C-420BEB9E8769}"/>
    <hyperlink ref="U467" location="Moves!K99" display="Mold Breaker" xr:uid="{87723D4D-746C-40E6-806F-FF7E78CCD34A}"/>
    <hyperlink ref="S468" location="Moves!K79" display="Swift Swim" xr:uid="{93B5B8A7-64ED-46C9-82D3-37270AA07CD2}"/>
    <hyperlink ref="T468" location="Moves!K141" display="Adaptability" xr:uid="{DE8E83EF-04B0-48C8-B262-CE88EBDD9757}"/>
    <hyperlink ref="U468" location="Moves!K99" display="Mold Breaker" xr:uid="{65ED7BDB-34A4-4A0B-9416-58A37955E374}"/>
    <hyperlink ref="S469" location="Moves!K97" display="Flower Veil" xr:uid="{954A9D76-82B0-4C8B-AD81-9F347604FEB7}"/>
    <hyperlink ref="U469" location="Moves!K202" display="Symbiosis" xr:uid="{904EC19C-C160-4B72-8340-DAF35EEF3265}"/>
    <hyperlink ref="S470" location="Moves!K17" display="Pickup" xr:uid="{1F002031-0786-421B-A6FD-1AB44131A7AD}"/>
    <hyperlink ref="T470" location="Moves!K5" display="Gluttony" xr:uid="{AF65F5FA-04C6-4C5A-B1DB-93A49CBF56EA}"/>
    <hyperlink ref="U470" location="Moves!K187" display="Quick Feet" xr:uid="{BF447319-FEEC-4154-9C15-508CC085D029}"/>
    <hyperlink ref="S471" location="Moves!K17" display="Pickup" xr:uid="{B7C889EB-7A2B-412D-B7CD-794E8CC8E117}"/>
    <hyperlink ref="T471" location="Moves!K5" display="Gluttony" xr:uid="{3033CFE6-53D1-4ACE-AF6A-691547BFB88A}"/>
    <hyperlink ref="U471" location="Moves!K187" display="Quick Feet" xr:uid="{C205CA3C-6F2E-427E-84E6-2AF1AAD272B5}"/>
    <hyperlink ref="S472" location="Moves!K39" display="Sap Sipper" xr:uid="{46E89769-45EC-4A09-AC1A-87EC0D743215}"/>
    <hyperlink ref="T472" location="Moves!K96" display="Shell Armor" xr:uid="{744EF622-BA55-49C1-A9EC-00A77B411DC5}"/>
    <hyperlink ref="U472" location="Moves!K205" display="Gooey" xr:uid="{0A52182C-62FB-47C1-8E78-AA5066BBC6E9}"/>
    <hyperlink ref="S473" location="Moves!K39" display="Sap Sipper" xr:uid="{EBB8AA35-5B10-4098-B14C-1C73767D0842}"/>
    <hyperlink ref="T473" location="Moves!K96" display="Shell Armor" xr:uid="{08A10EF1-4763-4861-877A-595E25311D7E}"/>
    <hyperlink ref="U473" location="Moves!K205" display="Gooey" xr:uid="{D3D80417-1F94-473E-A24C-B45C15655EA1}"/>
    <hyperlink ref="S474" location="Moves!K126" display="Seed Sower" xr:uid="{C41044CD-551C-49C1-97A5-C6D9FA62F5CC}"/>
    <hyperlink ref="T474" location="Moves!K22" display="Static" xr:uid="{E539CBEC-26C8-4FA4-8BB3-5BFFA0FA9AF7}"/>
    <hyperlink ref="U474" location="Moves!K155" display="Aftermath" xr:uid="{A90E0D21-ACB7-4CBF-8553-C3DE74C46060}"/>
    <hyperlink ref="S475" location="Moves!K126" display="Seed Sower" xr:uid="{93954ADE-A93B-4264-B08B-604D98AC4077}"/>
    <hyperlink ref="T475" location="Moves!K22" display="Static" xr:uid="{F45C1747-FD58-4EB6-AADA-D2218800060A}"/>
    <hyperlink ref="U475" location="Moves!K155" display="Aftermath" xr:uid="{79600892-BBD0-4342-8EDC-08F7BA90098E}"/>
    <hyperlink ref="S476" location="Moves!K7" display="Intimidate" xr:uid="{EBD65214-9EAF-4191-9849-6511DF048165}"/>
    <hyperlink ref="T476" location="Moves!K20" display="Rock Head" xr:uid="{D8887C02-0E34-49CC-A34F-6BBB82317953}"/>
    <hyperlink ref="U476" location="Moves!K77" display="Fur Coat" xr:uid="{3D498AD9-6BC7-4211-B4FD-4D043DD47491}"/>
    <hyperlink ref="S477" location="Moves!K7" display="Intimidate" xr:uid="{A900F659-4294-455F-8F1B-83AC6ED08C8B}"/>
    <hyperlink ref="T477" location="Moves!K20" display="Rock Head" xr:uid="{ED4708CB-3C49-418B-94DA-B6B29D0C522D}"/>
    <hyperlink ref="U477" location="Moves!K77" display="Fur Coat" xr:uid="{8D2107AB-ACBF-4970-96D3-5F6E7552EFAB}"/>
    <hyperlink ref="S478" location="Moves!K127" display="Tinted Lens" xr:uid="{C4517CA3-6441-43B5-8BFB-1D092137CE30}"/>
    <hyperlink ref="T478" location="Moves!K72" display="Sheer Force" xr:uid="{C21ABBAF-931C-4B65-8CCA-C4701A48CDB9}"/>
    <hyperlink ref="U478" location="Moves!K87" display="Fluffy" xr:uid="{7F33C286-B10F-48CF-ABB7-ABA481FD1A06}"/>
    <hyperlink ref="S479" location="Moves!K18" display="Sturdy" xr:uid="{375622AC-D158-4A1B-AA25-3279C3BADCA5}"/>
    <hyperlink ref="U479" location="Moves!K214" display="Embody Aspect (Def)" xr:uid="{A0503F37-4E3A-4C25-B8B1-EFB5E320385C}"/>
    <hyperlink ref="S480" location="Moves!K99" display="Mold Breaker" xr:uid="{6ADAD043-66FE-4A6A-9276-FD2FBA25DC5B}"/>
    <hyperlink ref="U480" location="Moves!K215" display="Embody Aspect (Atk)" xr:uid="{FED0A996-BB56-4E00-81C4-D67B635F41DF}"/>
    <hyperlink ref="S481" location="Moves!K33" display="Water Absorb" xr:uid="{96F1FF24-127E-465A-B0B0-02BAD10876DD}"/>
    <hyperlink ref="U481" location="Moves!K216" display="Embody Aspect (SpD)" xr:uid="{F13D5701-F2D3-4C1A-BAA2-23092337CFF2}"/>
    <hyperlink ref="S496" location="Moves!K54" display="Analytic" xr:uid="{6F6B2889-58FE-4536-80B9-848AB1053EC1}"/>
    <hyperlink ref="S497" location="Moves!K201" display="Shadow Tag" xr:uid="{805461A8-84CA-43E2-8F84-B0661CFAC487}"/>
    <hyperlink ref="S500" location="Moves!K77" display="Fur Coat" xr:uid="{227B1620-114A-4678-8B2B-2295E5325C29}"/>
    <hyperlink ref="S516" location="Moves!K29" display="Thick Layers" xr:uid="{4DCAEC3E-127A-4827-8F78-8826000CFAB8}"/>
  </hyperlink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40BAABDD6A64CBA6D7833EEAFD242" ma:contentTypeVersion="18" ma:contentTypeDescription="Create a new document." ma:contentTypeScope="" ma:versionID="5e947a7cedadbd5d17821b316bab45aa">
  <xsd:schema xmlns:xsd="http://www.w3.org/2001/XMLSchema" xmlns:xs="http://www.w3.org/2001/XMLSchema" xmlns:p="http://schemas.microsoft.com/office/2006/metadata/properties" xmlns:ns3="ac65dcbc-1235-4052-a394-4be4b9214fd0" xmlns:ns4="4e41c2a3-c1be-44be-8124-6a4a6955c604" targetNamespace="http://schemas.microsoft.com/office/2006/metadata/properties" ma:root="true" ma:fieldsID="4e109c34bd90b6dd5d89027a033a1d27" ns3:_="" ns4:_="">
    <xsd:import namespace="ac65dcbc-1235-4052-a394-4be4b9214fd0"/>
    <xsd:import namespace="4e41c2a3-c1be-44be-8124-6a4a6955c6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dcbc-1235-4052-a394-4be4b9214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1c2a3-c1be-44be-8124-6a4a6955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c65dcbc-1235-4052-a394-4be4b9214fd0" xsi:nil="true"/>
  </documentManagement>
</p:properties>
</file>

<file path=customXml/itemProps1.xml><?xml version="1.0" encoding="utf-8"?>
<ds:datastoreItem xmlns:ds="http://schemas.openxmlformats.org/officeDocument/2006/customXml" ds:itemID="{6798CB3E-DD48-4996-866E-FFF67B313A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65dcbc-1235-4052-a394-4be4b9214fd0"/>
    <ds:schemaRef ds:uri="4e41c2a3-c1be-44be-8124-6a4a6955c6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0FB7B2-0547-4D1A-8047-8AF24A7BD8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E8415C-20B4-4FA8-AFF3-CE55946C17E0}">
  <ds:schemaRefs>
    <ds:schemaRef ds:uri="ac65dcbc-1235-4052-a394-4be4b9214fd0"/>
    <ds:schemaRef ds:uri="4e41c2a3-c1be-44be-8124-6a4a6955c604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Beecham</dc:creator>
  <cp:lastModifiedBy>Aaron Beecham</cp:lastModifiedBy>
  <cp:lastPrinted>2025-11-19T09:11:30Z</cp:lastPrinted>
  <dcterms:created xsi:type="dcterms:W3CDTF">2025-11-19T09:10:03Z</dcterms:created>
  <dcterms:modified xsi:type="dcterms:W3CDTF">2025-11-19T09:12:26Z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0x010100B3940BAABDD6A64CBA6D7833EEAFD242</vt:lpwstr>
  </property>
</Properties>
</file>